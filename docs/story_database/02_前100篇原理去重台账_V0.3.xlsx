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ol1_LOCK" sheetId="1" state="visible" r:id="rId1"/>
    <sheet xmlns:r="http://schemas.openxmlformats.org/officeDocument/2006/relationships" name="前100篇台账" sheetId="2" state="visible" r:id="rId2"/>
    <sheet xmlns:r="http://schemas.openxmlformats.org/officeDocument/2006/relationships" name="知识域容量" sheetId="3" state="visible" r:id="rId3"/>
    <sheet xmlns:r="http://schemas.openxmlformats.org/officeDocument/2006/relationships" name="说明" sheetId="4" state="visible" r:id="rId4"/>
  </sheets>
  <definedNames>
    <definedName name="_xlnm._FilterDatabase" localSheetId="1" hidden="1">'前100篇台账'!$A$1:$P$101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333"/>
      <sz val="9"/>
    </font>
    <font>
      <name val="Arial"/>
      <charset val="1"/>
      <family val="0"/>
      <color rgb="FF333333"/>
      <sz val="9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Noto Sans CJK SC"/>
      <family val="2"/>
      <b val="1"/>
      <sz val="12"/>
    </font>
    <font>
      <name val="Arial"/>
      <charset val="1"/>
      <family val="0"/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正典ID</t>
        </is>
      </c>
      <c r="B1" t="inlineStr">
        <is>
          <t>gate_pass</t>
        </is>
      </c>
      <c r="C1" t="inlineStr">
        <is>
          <t>篇名（中）</t>
        </is>
      </c>
      <c r="D1" t="inlineStr">
        <is>
          <t>三原理三元组</t>
        </is>
      </c>
      <c r="E1" t="inlineStr">
        <is>
          <t>carrier</t>
        </is>
      </c>
      <c r="F1" t="inlineStr">
        <is>
          <t>status</t>
        </is>
      </c>
    </row>
    <row r="2">
      <c r="A2" t="inlineStr">
        <is>
          <t>A001</t>
        </is>
      </c>
      <c r="B2" t="inlineStr">
        <is>
          <t>G1–G7 Y</t>
        </is>
      </c>
      <c r="C2" t="inlineStr">
        <is>
          <t>翘边的海报</t>
        </is>
      </c>
      <c r="D2" t="inlineStr">
        <is>
          <t>侧廊出风 + 晨间湿度 + 胶带黏着</t>
        </is>
      </c>
      <c r="E2" t="inlineStr">
        <is>
          <t>校园</t>
        </is>
      </c>
      <c r="F2" t="inlineStr">
        <is>
          <t>样章+正文✅</t>
        </is>
      </c>
    </row>
    <row r="3">
      <c r="A3" t="inlineStr">
        <is>
          <t>A002</t>
        </is>
      </c>
      <c r="B3" t="inlineStr">
        <is>
          <t>G1–G7 Y</t>
        </is>
      </c>
      <c r="C3" t="inlineStr">
        <is>
          <t>错位的泥印</t>
        </is>
      </c>
      <c r="D3" t="inlineStr">
        <is>
          <t>鞋柜动线 + 目击链 + 泥印方向</t>
        </is>
      </c>
      <c r="E3" t="inlineStr">
        <is>
          <t>校园</t>
        </is>
      </c>
      <c r="F3" t="inlineStr">
        <is>
          <t>正文✅</t>
        </is>
      </c>
    </row>
    <row r="4">
      <c r="A4" t="inlineStr">
        <is>
          <t>A003</t>
        </is>
      </c>
      <c r="B4" t="inlineStr">
        <is>
          <t>G1–G7 Y</t>
        </is>
      </c>
      <c r="C4" t="inlineStr">
        <is>
          <t>空着的那一栏</t>
        </is>
      </c>
      <c r="D4" t="inlineStr">
        <is>
          <t>核实流程 + 采访伦理 + 无源收束</t>
        </is>
      </c>
      <c r="E4" t="inlineStr">
        <is>
          <t>校园</t>
        </is>
      </c>
      <c r="F4" t="inlineStr">
        <is>
          <t>正文✅</t>
        </is>
      </c>
    </row>
    <row r="5">
      <c r="A5" t="inlineStr">
        <is>
          <t>A004</t>
        </is>
      </c>
      <c r="B5" t="inlineStr">
        <is>
          <t>G1–G7 Y</t>
        </is>
      </c>
      <c r="C5" t="inlineStr">
        <is>
          <t>粉笔灰的圆圈</t>
        </is>
      </c>
      <c r="D5" t="inlineStr">
        <is>
          <t>静电吸附 + 粉笔粉尘 + 清扫动线</t>
        </is>
      </c>
      <c r="E5" t="inlineStr">
        <is>
          <t>校园</t>
        </is>
      </c>
      <c r="F5" t="inlineStr">
        <is>
          <t>Card✅</t>
        </is>
      </c>
    </row>
    <row r="6">
      <c r="A6" t="inlineStr">
        <is>
          <t>A005</t>
        </is>
      </c>
      <c r="B6" t="inlineStr">
        <is>
          <t>G1–G7 Y</t>
        </is>
      </c>
      <c r="C6" t="inlineStr">
        <is>
          <t>橡皮屑的方向</t>
        </is>
      </c>
      <c r="D6" t="inlineStr">
        <is>
          <t>摩擦痕迹 + 振动滑出 + 行为链</t>
        </is>
      </c>
      <c r="E6" t="inlineStr">
        <is>
          <t>校园</t>
        </is>
      </c>
      <c r="F6" t="inlineStr">
        <is>
          <t>Card✅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0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5" min="1" max="1"/>
    <col width="18" customWidth="1" style="25" min="2" max="2"/>
    <col width="16" customWidth="1" style="25" min="3" max="3"/>
    <col width="11" customWidth="1" style="25" min="4" max="5"/>
    <col width="18" customWidth="1" style="25" min="6" max="6"/>
    <col width="11" customWidth="1" style="25" min="7" max="7"/>
    <col width="16" customWidth="1" style="25" min="8" max="8"/>
    <col width="26" customWidth="1" style="25" min="9" max="9"/>
    <col width="11" customWidth="1" style="25" min="10" max="12"/>
    <col width="32" customWidth="1" style="25" min="13" max="13"/>
    <col width="12" customWidth="1" style="25" min="14" max="14"/>
    <col width="18" customWidth="1" style="25" min="15" max="15"/>
    <col width="11" customWidth="1" style="25" min="16" max="16"/>
  </cols>
  <sheetData>
    <row r="1" ht="30" customHeight="1" s="26">
      <c r="A1" s="27" t="inlineStr">
        <is>
          <t>正典ID</t>
        </is>
      </c>
      <c r="B1" s="27" t="inlineStr">
        <is>
          <t>gate_pass</t>
        </is>
      </c>
      <c r="C1" s="28" t="inlineStr">
        <is>
          <t>案号</t>
        </is>
      </c>
      <c r="D1" s="28" t="inlineStr">
        <is>
          <t>篇名（日）</t>
        </is>
      </c>
      <c r="E1" s="28" t="inlineStr">
        <is>
          <t>篇名（中）</t>
        </is>
      </c>
      <c r="F1" s="28" t="inlineStr">
        <is>
          <t>阶段</t>
        </is>
      </c>
      <c r="G1" s="28" t="inlineStr">
        <is>
          <t>层级</t>
        </is>
      </c>
      <c r="H1" s="28" t="inlineStr">
        <is>
          <t>载体</t>
        </is>
      </c>
      <c r="I1" s="28" t="inlineStr">
        <is>
          <t>季节</t>
        </is>
      </c>
      <c r="J1" s="28" t="inlineStr">
        <is>
          <t>领衔</t>
        </is>
      </c>
      <c r="K1" s="28" t="inlineStr">
        <is>
          <t>参与全员</t>
        </is>
      </c>
      <c r="L1" s="28" t="inlineStr">
        <is>
          <t>知识域 1</t>
        </is>
      </c>
      <c r="M1" s="28" t="inlineStr">
        <is>
          <t>知识域 2</t>
        </is>
      </c>
      <c r="N1" s="28" t="inlineStr">
        <is>
          <t>知识域 3</t>
        </is>
      </c>
      <c r="O1" s="28" t="inlineStr">
        <is>
          <t>三原理三元组（标准化）</t>
        </is>
      </c>
      <c r="P1" s="28" t="inlineStr">
        <is>
          <t>主范式</t>
        </is>
      </c>
      <c r="Q1" s="28" t="inlineStr">
        <is>
          <t>长线标记</t>
        </is>
      </c>
      <c r="R1" s="28" t="inlineStr">
        <is>
          <t>重复校验</t>
        </is>
      </c>
    </row>
    <row r="2" ht="15" customHeight="1" s="26">
      <c r="A2" s="29" t="inlineStr">
        <is>
          <t>A001</t>
        </is>
      </c>
      <c r="B2" t="inlineStr">
        <is>
          <t>ポスターの端</t>
        </is>
      </c>
      <c r="C2" t="inlineStr">
        <is>
          <t>翘边的海报</t>
        </is>
      </c>
      <c r="D2" t="inlineStr">
        <is>
          <t>I 组建期</t>
        </is>
      </c>
      <c r="E2" t="inlineStr">
        <is>
          <t>核心连载</t>
        </is>
      </c>
      <c r="F2" t="inlineStr">
        <is>
          <t>校园</t>
        </is>
      </c>
      <c r="G2" t="inlineStr">
        <is>
          <t>4月</t>
        </is>
      </c>
      <c r="H2" t="inlineStr">
        <is>
          <t>慧美·志郎·光</t>
        </is>
      </c>
      <c r="I2" t="inlineStr">
        <is>
          <t>光·慧美·志郎·珣（+瑆 笔记）</t>
        </is>
      </c>
      <c r="J2" t="inlineStr">
        <is>
          <t>气象</t>
        </is>
      </c>
      <c r="K2" t="inlineStr">
        <is>
          <t>材料</t>
        </is>
      </c>
      <c r="L2" t="inlineStr">
        <is>
          <t>流体</t>
        </is>
      </c>
      <c r="M2" t="inlineStr">
        <is>
          <t>侧廊出风 + 晨间湿度 + 胶带黏着</t>
        </is>
      </c>
      <c r="N2" t="inlineStr">
        <is>
          <t>实验+观察</t>
        </is>
      </c>
      <c r="O2" t="inlineStr">
        <is>
          <t>Vol1·样章</t>
        </is>
      </c>
      <c r="P2" t="inlineStr">
        <is>
          <t>G1–G7 Y</t>
        </is>
      </c>
    </row>
    <row r="3" ht="15" customHeight="1" s="26">
      <c r="A3" s="29" t="inlineStr">
        <is>
          <t>A002</t>
        </is>
      </c>
      <c r="B3" t="inlineStr">
        <is>
          <t>ずれた泥の跡</t>
        </is>
      </c>
      <c r="C3" t="inlineStr">
        <is>
          <t>错位的泥印</t>
        </is>
      </c>
      <c r="D3" t="inlineStr">
        <is>
          <t>I 组建期</t>
        </is>
      </c>
      <c r="E3" t="inlineStr">
        <is>
          <t>核心连载</t>
        </is>
      </c>
      <c r="F3" t="inlineStr">
        <is>
          <t>校园</t>
        </is>
      </c>
      <c r="G3" t="inlineStr">
        <is>
          <t>4月</t>
        </is>
      </c>
      <c r="H3" t="inlineStr">
        <is>
          <t>慧美·光</t>
        </is>
      </c>
      <c r="I3" t="inlineStr">
        <is>
          <t>光·慧美·志郎·珣（+瑆 笔记）</t>
        </is>
      </c>
      <c r="J3" t="inlineStr">
        <is>
          <t>行为</t>
        </is>
      </c>
      <c r="K3" t="inlineStr">
        <is>
          <t>动线</t>
        </is>
      </c>
      <c r="L3" t="inlineStr">
        <is>
          <t>地理</t>
        </is>
      </c>
      <c r="M3" t="inlineStr">
        <is>
          <t>鞋柜动线 + 目击链 + 泥印方向</t>
        </is>
      </c>
      <c r="N3" t="inlineStr">
        <is>
          <t>采访+实验</t>
        </is>
      </c>
      <c r="P3" t="inlineStr">
        <is>
          <t>G1–G7 Y</t>
        </is>
      </c>
    </row>
    <row r="4" ht="15" customHeight="1" s="26">
      <c r="A4" s="29" t="inlineStr">
        <is>
          <t>A003</t>
        </is>
      </c>
      <c r="B4" t="inlineStr">
        <is>
          <t>空いた欄</t>
        </is>
      </c>
      <c r="C4" t="inlineStr">
        <is>
          <t>空着的那一栏</t>
        </is>
      </c>
      <c r="D4" t="inlineStr">
        <is>
          <t>I 组建期</t>
        </is>
      </c>
      <c r="E4" t="inlineStr">
        <is>
          <t>核心连载</t>
        </is>
      </c>
      <c r="F4" t="inlineStr">
        <is>
          <t>校园</t>
        </is>
      </c>
      <c r="G4" t="inlineStr">
        <is>
          <t>4月</t>
        </is>
      </c>
      <c r="H4" t="inlineStr">
        <is>
          <t>慧美</t>
        </is>
      </c>
      <c r="I4" t="inlineStr">
        <is>
          <t>光·慧美·志郎·珣（+瑆 笔记）</t>
        </is>
      </c>
      <c r="J4" t="inlineStr">
        <is>
          <t>逻辑</t>
        </is>
      </c>
      <c r="K4" t="inlineStr">
        <is>
          <t>心理</t>
        </is>
      </c>
      <c r="L4" t="inlineStr">
        <is>
          <t>传播</t>
        </is>
      </c>
      <c r="M4" t="inlineStr">
        <is>
          <t>核实流程 + 采访伦理 + 无源收束</t>
        </is>
      </c>
      <c r="N4" t="inlineStr">
        <is>
          <t>采访+逻辑</t>
        </is>
      </c>
      <c r="P4" t="inlineStr">
        <is>
          <t>G1–G7 Y</t>
        </is>
      </c>
    </row>
    <row r="5" ht="15" customHeight="1" s="26">
      <c r="A5" s="29" t="inlineStr">
        <is>
          <t>A004</t>
        </is>
      </c>
      <c r="B5" t="inlineStr">
        <is>
          <t>チョークの円</t>
        </is>
      </c>
      <c r="C5" t="inlineStr">
        <is>
          <t>粉笔灰的圆圈</t>
        </is>
      </c>
      <c r="D5" t="inlineStr">
        <is>
          <t>I 组建期</t>
        </is>
      </c>
      <c r="E5" t="inlineStr">
        <is>
          <t>核心连载</t>
        </is>
      </c>
      <c r="F5" t="inlineStr">
        <is>
          <t>校园</t>
        </is>
      </c>
      <c r="G5" t="inlineStr">
        <is>
          <t>4月</t>
        </is>
      </c>
      <c r="H5" t="inlineStr">
        <is>
          <t>志郎·珣</t>
        </is>
      </c>
      <c r="I5" t="inlineStr">
        <is>
          <t>光·慧美·志郎·珣（+瑆 笔记）</t>
        </is>
      </c>
      <c r="J5" t="inlineStr">
        <is>
          <t>静电</t>
        </is>
      </c>
      <c r="K5" t="inlineStr">
        <is>
          <t>材料</t>
        </is>
      </c>
      <c r="L5" t="inlineStr">
        <is>
          <t>行为</t>
        </is>
      </c>
      <c r="M5" t="inlineStr">
        <is>
          <t>静电吸附 + 粉笔粉尘 + 清扫动线</t>
        </is>
      </c>
      <c r="N5" t="inlineStr">
        <is>
          <t>实验+结构</t>
        </is>
      </c>
      <c r="P5" t="inlineStr">
        <is>
          <t>G1–G7 Y</t>
        </is>
      </c>
    </row>
    <row r="6" ht="15" customHeight="1" s="26">
      <c r="A6" s="29" t="inlineStr">
        <is>
          <t>A005</t>
        </is>
      </c>
      <c r="B6" t="inlineStr">
        <is>
          <t>消しゴムの屑</t>
        </is>
      </c>
      <c r="C6" t="inlineStr">
        <is>
          <t>橡皮屑的方向</t>
        </is>
      </c>
      <c r="D6" t="inlineStr">
        <is>
          <t>I 组建期</t>
        </is>
      </c>
      <c r="E6" t="inlineStr">
        <is>
          <t>核心连载</t>
        </is>
      </c>
      <c r="F6" t="inlineStr">
        <is>
          <t>校园</t>
        </is>
      </c>
      <c r="G6" t="inlineStr">
        <is>
          <t>4月</t>
        </is>
      </c>
      <c r="H6" t="inlineStr">
        <is>
          <t>志郎·珣</t>
        </is>
      </c>
      <c r="I6" t="inlineStr">
        <is>
          <t>光·慧美·志郎·珣（+瑆 笔记）</t>
        </is>
      </c>
      <c r="J6" t="inlineStr">
        <is>
          <t>力学</t>
        </is>
      </c>
      <c r="K6" t="inlineStr">
        <is>
          <t>材料</t>
        </is>
      </c>
      <c r="L6" t="inlineStr">
        <is>
          <t>行为</t>
        </is>
      </c>
      <c r="M6" t="inlineStr">
        <is>
          <t>摩擦痕迹 + 振动滑出 + 行为链</t>
        </is>
      </c>
      <c r="N6" t="inlineStr">
        <is>
          <t>结构还原</t>
        </is>
      </c>
      <c r="O6" t="inlineStr">
        <is>
          <t>珣入社</t>
        </is>
      </c>
      <c r="P6" t="inlineStr">
        <is>
          <t>G1–G7 Y</t>
        </is>
      </c>
    </row>
    <row r="7" ht="15" customHeight="1" s="26">
      <c r="A7" t="inlineStr">
        <is>
          <t>C001</t>
        </is>
      </c>
      <c r="B7" t="inlineStr">
        <is>
          <t>G1=N · 素材库</t>
        </is>
      </c>
      <c r="C7" s="30" t="n">
        <v>1</v>
      </c>
      <c r="D7" s="31" t="inlineStr">
        <is>
          <t>濡れる椅子</t>
        </is>
      </c>
      <c r="E7" s="31" t="inlineStr">
        <is>
          <t>总是湿的椅子</t>
        </is>
      </c>
      <c r="F7" s="30" t="inlineStr">
        <is>
          <t>I 组建期</t>
        </is>
      </c>
      <c r="G7" s="32" t="inlineStr">
        <is>
          <t>核心连载</t>
        </is>
      </c>
      <c r="H7" s="31" t="inlineStr">
        <is>
          <t>校园</t>
        </is>
      </c>
      <c r="I7" s="30" t="inlineStr">
        <is>
          <t>4月</t>
        </is>
      </c>
      <c r="J7" s="31" t="inlineStr">
        <is>
          <t>光·慧美·珣</t>
        </is>
      </c>
      <c r="K7" s="31" t="inlineStr">
        <is>
          <t>光·慧美·志郎·珣（+瑆 笔记）</t>
        </is>
      </c>
      <c r="L7" s="31" t="inlineStr">
        <is>
          <t>热学</t>
        </is>
      </c>
      <c r="M7" s="31" t="inlineStr">
        <is>
          <t>热传导</t>
        </is>
      </c>
      <c r="N7" s="31" t="inlineStr">
        <is>
          <t>气象</t>
        </is>
      </c>
      <c r="O7" s="33" t="inlineStr">
        <is>
          <t>窗框热传导 + 结露 + 露点湿度</t>
        </is>
      </c>
      <c r="P7" s="32" t="inlineStr">
        <is>
          <t>实验+微观</t>
        </is>
      </c>
      <c r="Q7" s="34" t="inlineStr">
        <is>
          <t>C001·热学深潜（非入社）</t>
        </is>
      </c>
      <c r="R7" s="30">
        <f>IF(COUNTIF($M$2:$M$101,M2)&gt;1,"⚠ 重复","唯一")</f>
        <v/>
      </c>
    </row>
    <row r="8" ht="15" customHeight="1" s="26">
      <c r="A8" t="inlineStr">
        <is>
          <t>A006</t>
        </is>
      </c>
      <c r="B8" t="inlineStr">
        <is>
          <t>⬜</t>
        </is>
      </c>
      <c r="C8" s="35" t="n">
        <v>2</v>
      </c>
      <c r="D8" s="36" t="inlineStr">
        <is>
          <t>転がる消しゴム</t>
        </is>
      </c>
      <c r="E8" s="36" t="inlineStr">
        <is>
          <t>谁偷了橡皮</t>
        </is>
      </c>
      <c r="F8" s="35" t="inlineStr">
        <is>
          <t>I 组建期</t>
        </is>
      </c>
      <c r="G8" s="37" t="inlineStr">
        <is>
          <t>核心连载</t>
        </is>
      </c>
      <c r="H8" s="36" t="inlineStr">
        <is>
          <t>校园</t>
        </is>
      </c>
      <c r="I8" s="35" t="inlineStr">
        <is>
          <t>5月</t>
        </is>
      </c>
      <c r="J8" s="36" t="inlineStr">
        <is>
          <t>志郎</t>
        </is>
      </c>
      <c r="K8" s="36" t="inlineStr">
        <is>
          <t>光·慧美·志郎·珣（+瑆 笔记）</t>
        </is>
      </c>
      <c r="L8" s="36" t="inlineStr">
        <is>
          <t>力学</t>
        </is>
      </c>
      <c r="M8" s="36" t="inlineStr">
        <is>
          <t>材料</t>
        </is>
      </c>
      <c r="N8" s="36" t="inlineStr">
        <is>
          <t>行为</t>
        </is>
      </c>
      <c r="O8" s="38" t="inlineStr">
        <is>
          <t>摩擦力 + 斜面滚动 + 行为习惯</t>
        </is>
      </c>
      <c r="P8" s="37" t="inlineStr">
        <is>
          <t>结构还原</t>
        </is>
      </c>
      <c r="Q8" s="36" t="n"/>
      <c r="R8" s="35">
        <f>IF(COUNTIF($M$2:$M$101,M3)&gt;1,"⚠ 重复","唯一")</f>
        <v/>
      </c>
    </row>
    <row r="9" ht="15" customHeight="1" s="26">
      <c r="A9" t="inlineStr">
        <is>
          <t>A007</t>
        </is>
      </c>
      <c r="B9" t="inlineStr">
        <is>
          <t>⬜</t>
        </is>
      </c>
      <c r="C9" s="35" t="n">
        <v>3</v>
      </c>
      <c r="D9" s="36" t="inlineStr">
        <is>
          <t>アリの行列</t>
        </is>
      </c>
      <c r="E9" s="36" t="inlineStr">
        <is>
          <t>蚂蚁的队列</t>
        </is>
      </c>
      <c r="F9" s="35" t="inlineStr">
        <is>
          <t>I 组建期</t>
        </is>
      </c>
      <c r="G9" s="37" t="inlineStr">
        <is>
          <t>核心连载</t>
        </is>
      </c>
      <c r="H9" s="36" t="inlineStr">
        <is>
          <t>校园·操场</t>
        </is>
      </c>
      <c r="I9" s="35" t="inlineStr">
        <is>
          <t>6月梅雨</t>
        </is>
      </c>
      <c r="J9" s="36" t="inlineStr">
        <is>
          <t>珣</t>
        </is>
      </c>
      <c r="K9" s="36" t="inlineStr">
        <is>
          <t>光·慧美·志郎·珣（+瑆 笔记）</t>
        </is>
      </c>
      <c r="L9" s="36" t="inlineStr">
        <is>
          <t>生物</t>
        </is>
      </c>
      <c r="M9" s="36" t="inlineStr">
        <is>
          <t>化学</t>
        </is>
      </c>
      <c r="N9" s="36" t="inlineStr">
        <is>
          <t>气象</t>
        </is>
      </c>
      <c r="O9" s="38" t="inlineStr">
        <is>
          <t>信息素挥发 + 昆虫信息素 + 湿度扩散</t>
        </is>
      </c>
      <c r="P9" s="37" t="inlineStr">
        <is>
          <t>微观领域</t>
        </is>
      </c>
      <c r="Q9" s="36" t="n"/>
      <c r="R9" s="35">
        <f>IF(COUNTIF($M$2:$M$101,M4)&gt;1,"⚠ 重复","唯一")</f>
        <v/>
      </c>
    </row>
    <row r="10" ht="15" customHeight="1" s="26">
      <c r="A10" t="inlineStr">
        <is>
          <t>A008</t>
        </is>
      </c>
      <c r="B10" t="inlineStr">
        <is>
          <t>⬜</t>
        </is>
      </c>
      <c r="C10" s="35" t="n">
        <v>4</v>
      </c>
      <c r="D10" s="36" t="inlineStr">
        <is>
          <t>音楽室の和音</t>
        </is>
      </c>
      <c r="E10" s="36" t="inlineStr">
        <is>
          <t>音乐教室的怪声</t>
        </is>
      </c>
      <c r="F10" s="35" t="inlineStr">
        <is>
          <t>I 组建期</t>
        </is>
      </c>
      <c r="G10" s="37" t="inlineStr">
        <is>
          <t>核心连载</t>
        </is>
      </c>
      <c r="H10" s="36" t="inlineStr">
        <is>
          <t>校园</t>
        </is>
      </c>
      <c r="I10" s="35" t="inlineStr">
        <is>
          <t>7月</t>
        </is>
      </c>
      <c r="J10" s="36" t="inlineStr">
        <is>
          <t>珣</t>
        </is>
      </c>
      <c r="K10" s="36" t="inlineStr">
        <is>
          <t>光·慧美·志郎·珣（+瑆 笔记）</t>
        </is>
      </c>
      <c r="L10" s="36" t="inlineStr">
        <is>
          <t>声学</t>
        </is>
      </c>
      <c r="M10" s="36" t="inlineStr">
        <is>
          <t>音乐</t>
        </is>
      </c>
      <c r="N10" s="36" t="inlineStr">
        <is>
          <t>材料</t>
        </is>
      </c>
      <c r="O10" s="38" t="inlineStr">
        <is>
          <t>共振 + 和弦泛音 + 固体传声</t>
        </is>
      </c>
      <c r="P10" s="37" t="inlineStr">
        <is>
          <t>微观</t>
        </is>
      </c>
      <c r="Q10" s="36" t="n"/>
      <c r="R10" s="35">
        <f>IF(COUNTIF($M$2:$M$101,M5)&gt;1,"⚠ 重复","唯一")</f>
        <v/>
      </c>
    </row>
    <row r="11" ht="15" customHeight="1" s="26">
      <c r="A11" t="inlineStr">
        <is>
          <t>A009</t>
        </is>
      </c>
      <c r="B11" t="inlineStr">
        <is>
          <t>⬜</t>
        </is>
      </c>
      <c r="C11" s="35" t="n">
        <v>5</v>
      </c>
      <c r="D11" s="36" t="inlineStr">
        <is>
          <t>旗竿の影</t>
        </is>
      </c>
      <c r="E11" s="36" t="inlineStr">
        <is>
          <t>歪掉的旗杆影子</t>
        </is>
      </c>
      <c r="F11" s="35" t="inlineStr">
        <is>
          <t>I 组建期</t>
        </is>
      </c>
      <c r="G11" s="37" t="inlineStr">
        <is>
          <t>核心连载</t>
        </is>
      </c>
      <c r="H11" s="36" t="inlineStr">
        <is>
          <t>校园·操场</t>
        </is>
      </c>
      <c r="I11" s="35" t="inlineStr">
        <is>
          <t>10月运动会</t>
        </is>
      </c>
      <c r="J11" s="36" t="inlineStr">
        <is>
          <t>慧美·珣</t>
        </is>
      </c>
      <c r="K11" s="36" t="inlineStr">
        <is>
          <t>光·慧美·志郎·珣（+瑆 笔记）</t>
        </is>
      </c>
      <c r="L11" s="36" t="inlineStr">
        <is>
          <t>天文</t>
        </is>
      </c>
      <c r="M11" s="36" t="inlineStr">
        <is>
          <t>地理</t>
        </is>
      </c>
      <c r="N11" s="36" t="inlineStr">
        <is>
          <t>数学</t>
        </is>
      </c>
      <c r="O11" s="38" t="inlineStr">
        <is>
          <t>几何投影 + 太阳高度角 + 纬度时差</t>
        </is>
      </c>
      <c r="P11" s="37" t="inlineStr">
        <is>
          <t>实验+结构</t>
        </is>
      </c>
      <c r="Q11" s="36" t="n"/>
      <c r="R11" s="35">
        <f>IF(COUNTIF($M$2:$M$101,M6)&gt;1,"⚠ 重复","唯一")</f>
        <v/>
      </c>
    </row>
    <row r="12" ht="15" customHeight="1" s="26">
      <c r="A12" t="inlineStr">
        <is>
          <t>A010</t>
        </is>
      </c>
      <c r="B12" t="inlineStr">
        <is>
          <t>⬜</t>
        </is>
      </c>
      <c r="C12" s="35" t="n">
        <v>6</v>
      </c>
      <c r="D12" s="36" t="inlineStr">
        <is>
          <t>蛇口のぬるま湯</t>
        </is>
      </c>
      <c r="E12" s="36" t="inlineStr">
        <is>
          <t>水龙头里的温水</t>
        </is>
      </c>
      <c r="F12" s="35" t="inlineStr">
        <is>
          <t>I 组建期</t>
        </is>
      </c>
      <c r="G12" s="37" t="inlineStr">
        <is>
          <t>核心连载</t>
        </is>
      </c>
      <c r="H12" s="36" t="inlineStr">
        <is>
          <t>校园</t>
        </is>
      </c>
      <c r="I12" s="35" t="inlineStr">
        <is>
          <t>8月</t>
        </is>
      </c>
      <c r="J12" s="36" t="inlineStr">
        <is>
          <t>志郎</t>
        </is>
      </c>
      <c r="K12" s="36" t="inlineStr">
        <is>
          <t>光·慧美·志郎·珣（+瑆 笔记）</t>
        </is>
      </c>
      <c r="L12" s="36" t="inlineStr">
        <is>
          <t>热学</t>
        </is>
      </c>
      <c r="M12" s="36" t="inlineStr">
        <is>
          <t>地质</t>
        </is>
      </c>
      <c r="N12" s="36" t="inlineStr">
        <is>
          <t>工程</t>
        </is>
      </c>
      <c r="O12" s="38" t="inlineStr">
        <is>
          <t>土壤比热 + 管道埋深 + 管道热传导</t>
        </is>
      </c>
      <c r="P12" s="37" t="inlineStr">
        <is>
          <t>结构还原</t>
        </is>
      </c>
      <c r="Q12" s="36" t="n"/>
      <c r="R12" s="35">
        <f>IF(COUNTIF($M$2:$M$101,M7)&gt;1,"⚠ 重复","唯一")</f>
        <v/>
      </c>
    </row>
    <row r="13" ht="15" customHeight="1" s="26">
      <c r="A13" t="inlineStr">
        <is>
          <t>A011</t>
        </is>
      </c>
      <c r="B13" t="inlineStr">
        <is>
          <t>⬜</t>
        </is>
      </c>
      <c r="C13" s="35" t="n">
        <v>7</v>
      </c>
      <c r="D13" s="36" t="inlineStr">
        <is>
          <t>植木鉢の白い骨</t>
        </is>
      </c>
      <c r="E13" s="36" t="inlineStr">
        <is>
          <t>花盆里的白骨</t>
        </is>
      </c>
      <c r="F13" s="35" t="inlineStr">
        <is>
          <t>I 组建期</t>
        </is>
      </c>
      <c r="G13" s="37" t="inlineStr">
        <is>
          <t>核心连载</t>
        </is>
      </c>
      <c r="H13" s="36" t="inlineStr">
        <is>
          <t>校园·植物角</t>
        </is>
      </c>
      <c r="I13" s="35" t="inlineStr">
        <is>
          <t>11月</t>
        </is>
      </c>
      <c r="J13" s="36" t="inlineStr">
        <is>
          <t>珣</t>
        </is>
      </c>
      <c r="K13" s="36" t="inlineStr">
        <is>
          <t>光·慧美·志郎·珣（+瑆 笔记）</t>
        </is>
      </c>
      <c r="L13" s="36" t="inlineStr">
        <is>
          <t>微生物</t>
        </is>
      </c>
      <c r="M13" s="36" t="inlineStr">
        <is>
          <t>植物</t>
        </is>
      </c>
      <c r="N13" s="36" t="inlineStr">
        <is>
          <t>化学</t>
        </is>
      </c>
      <c r="O13" s="38" t="inlineStr">
        <is>
          <t>共生关系 + 真菌菌丝 + 菌丝代谢</t>
        </is>
      </c>
      <c r="P13" s="37" t="inlineStr">
        <is>
          <t>微观</t>
        </is>
      </c>
      <c r="Q13" s="36" t="n"/>
      <c r="R13" s="35">
        <f>IF(COUNTIF($M$2:$M$101,M8)&gt;1,"⚠ 重复","唯一")</f>
        <v/>
      </c>
    </row>
    <row r="14" ht="29.85" customHeight="1" s="26">
      <c r="A14" t="inlineStr">
        <is>
          <t>A012</t>
        </is>
      </c>
      <c r="B14" t="inlineStr">
        <is>
          <t>⬜</t>
        </is>
      </c>
      <c r="C14" s="35" t="n">
        <v>8</v>
      </c>
      <c r="D14" s="36" t="inlineStr">
        <is>
          <t>遅れる時計</t>
        </is>
      </c>
      <c r="E14" s="36" t="inlineStr">
        <is>
          <t>不走的钟</t>
        </is>
      </c>
      <c r="F14" s="35" t="inlineStr">
        <is>
          <t>I 组建期</t>
        </is>
      </c>
      <c r="G14" s="37" t="inlineStr">
        <is>
          <t>核心连载</t>
        </is>
      </c>
      <c r="H14" s="36" t="inlineStr">
        <is>
          <t>校园</t>
        </is>
      </c>
      <c r="I14" s="35" t="inlineStr">
        <is>
          <t>12月</t>
        </is>
      </c>
      <c r="J14" s="36" t="inlineStr">
        <is>
          <t>慧美·珣</t>
        </is>
      </c>
      <c r="K14" s="36" t="inlineStr">
        <is>
          <t>光·慧美·志郎·珣（+瑆 笔记）</t>
        </is>
      </c>
      <c r="L14" s="36" t="inlineStr">
        <is>
          <t>电子</t>
        </is>
      </c>
      <c r="M14" s="36" t="inlineStr">
        <is>
          <t>热学</t>
        </is>
      </c>
      <c r="N14" s="36" t="inlineStr">
        <is>
          <t>数学</t>
        </is>
      </c>
      <c r="O14" s="38" t="inlineStr">
        <is>
          <t>温差 + 石英晶振温度特性 + 误差累积</t>
        </is>
      </c>
      <c r="P14" s="37" t="inlineStr">
        <is>
          <t>实验+微观</t>
        </is>
      </c>
      <c r="Q14" s="36" t="n"/>
      <c r="R14" s="35">
        <f>IF(COUNTIF($M$2:$M$101,M9)&gt;1,"⚠ 重复","唯一")</f>
        <v/>
      </c>
    </row>
    <row r="15" ht="15" customHeight="1" s="26">
      <c r="A15" t="inlineStr">
        <is>
          <t>A013</t>
        </is>
      </c>
      <c r="B15" t="inlineStr">
        <is>
          <t>⬜</t>
        </is>
      </c>
      <c r="C15" s="35" t="n">
        <v>9</v>
      </c>
      <c r="D15" s="36" t="inlineStr">
        <is>
          <t>ドアノブの火花</t>
        </is>
      </c>
      <c r="E15" s="36" t="inlineStr">
        <is>
          <t>会咬人的门把手</t>
        </is>
      </c>
      <c r="F15" s="35" t="inlineStr">
        <is>
          <t>I 组建期</t>
        </is>
      </c>
      <c r="G15" s="37" t="inlineStr">
        <is>
          <t>核心连载</t>
        </is>
      </c>
      <c r="H15" s="36" t="inlineStr">
        <is>
          <t>校园·图书馆</t>
        </is>
      </c>
      <c r="I15" s="35" t="inlineStr">
        <is>
          <t>1月</t>
        </is>
      </c>
      <c r="J15" s="36" t="inlineStr">
        <is>
          <t>志郎</t>
        </is>
      </c>
      <c r="K15" s="36" t="inlineStr">
        <is>
          <t>光·慧美·志郎·珣（+瑆 笔记）</t>
        </is>
      </c>
      <c r="L15" s="36" t="inlineStr">
        <is>
          <t>电磁</t>
        </is>
      </c>
      <c r="M15" s="36" t="inlineStr">
        <is>
          <t>材料</t>
        </is>
      </c>
      <c r="N15" s="36" t="inlineStr">
        <is>
          <t>气象</t>
        </is>
      </c>
      <c r="O15" s="38" t="inlineStr">
        <is>
          <t>导电性 + 干燥湿度 + 静电</t>
        </is>
      </c>
      <c r="P15" s="37" t="inlineStr">
        <is>
          <t>实验</t>
        </is>
      </c>
      <c r="Q15" s="36" t="n"/>
      <c r="R15" s="35">
        <f>IF(COUNTIF($M$2:$M$101,M10)&gt;1,"⚠ 重复","唯一")</f>
        <v/>
      </c>
    </row>
    <row r="16" ht="15" customHeight="1" s="26">
      <c r="A16" t="inlineStr">
        <is>
          <t>A014</t>
        </is>
      </c>
      <c r="B16" t="inlineStr">
        <is>
          <t>⬜</t>
        </is>
      </c>
      <c r="C16" s="35" t="n">
        <v>10</v>
      </c>
      <c r="D16" s="36" t="inlineStr">
        <is>
          <t>黒板の染み</t>
        </is>
      </c>
      <c r="E16" s="36" t="inlineStr">
        <is>
          <t>黑板上的印记</t>
        </is>
      </c>
      <c r="F16" s="35" t="inlineStr">
        <is>
          <t>I 组建期</t>
        </is>
      </c>
      <c r="G16" s="37" t="inlineStr">
        <is>
          <t>核心连载</t>
        </is>
      </c>
      <c r="H16" s="36" t="inlineStr">
        <is>
          <t>校园</t>
        </is>
      </c>
      <c r="I16" s="35" t="inlineStr">
        <is>
          <t>3月学年末</t>
        </is>
      </c>
      <c r="J16" s="36" t="inlineStr">
        <is>
          <t>慧美</t>
        </is>
      </c>
      <c r="K16" s="36" t="inlineStr">
        <is>
          <t>光·慧美·志郎·珣（+瑆 笔记）</t>
        </is>
      </c>
      <c r="L16" s="36" t="inlineStr">
        <is>
          <t>化学</t>
        </is>
      </c>
      <c r="M16" s="36" t="inlineStr">
        <is>
          <t>材料</t>
        </is>
      </c>
      <c r="N16" s="36" t="inlineStr">
        <is>
          <t>光学</t>
        </is>
      </c>
      <c r="O16" s="38" t="inlineStr">
        <is>
          <t>相似相溶 + 窗格投影 + 表面张力</t>
        </is>
      </c>
      <c r="P16" s="37" t="inlineStr">
        <is>
          <t>实验</t>
        </is>
      </c>
      <c r="Q16" s="36" t="n"/>
      <c r="R16" s="35">
        <f>IF(COUNTIF($M$2:$M$101,M11)&gt;1,"⚠ 重复","唯一")</f>
        <v/>
      </c>
    </row>
    <row r="17" ht="15" customHeight="1" s="26">
      <c r="A17" t="inlineStr">
        <is>
          <t>A015</t>
        </is>
      </c>
      <c r="B17" t="inlineStr">
        <is>
          <t>⬜</t>
        </is>
      </c>
      <c r="C17" s="35" t="n">
        <v>11</v>
      </c>
      <c r="D17" s="36" t="inlineStr">
        <is>
          <t>廊下の口笛</t>
        </is>
      </c>
      <c r="E17" s="36" t="inlineStr">
        <is>
          <t>走廊的口哨声</t>
        </is>
      </c>
      <c r="F17" s="35" t="inlineStr">
        <is>
          <t>I 组建期</t>
        </is>
      </c>
      <c r="G17" s="37" t="inlineStr">
        <is>
          <t>核心连载</t>
        </is>
      </c>
      <c r="H17" s="36" t="inlineStr">
        <is>
          <t>校园</t>
        </is>
      </c>
      <c r="I17" s="35" t="inlineStr">
        <is>
          <t>1月</t>
        </is>
      </c>
      <c r="J17" s="36" t="inlineStr">
        <is>
          <t>珣</t>
        </is>
      </c>
      <c r="K17" s="36" t="inlineStr">
        <is>
          <t>光·慧美·志郎·珣（+瑆 笔记）</t>
        </is>
      </c>
      <c r="L17" s="36" t="inlineStr">
        <is>
          <t>声学</t>
        </is>
      </c>
      <c r="M17" s="36" t="inlineStr">
        <is>
          <t>流体</t>
        </is>
      </c>
      <c r="N17" s="36" t="inlineStr">
        <is>
          <t>建筑</t>
        </is>
      </c>
      <c r="O17" s="38" t="inlineStr">
        <is>
          <t>开口位置 + 狭管加速 + 风啸效应</t>
        </is>
      </c>
      <c r="P17" s="37" t="inlineStr">
        <is>
          <t>微观</t>
        </is>
      </c>
      <c r="Q17" s="36" t="n"/>
      <c r="R17" s="35">
        <f>IF(COUNTIF($M$2:$M$101,M12)&gt;1,"⚠ 重复","唯一")</f>
        <v/>
      </c>
    </row>
    <row r="18" ht="15" customHeight="1" s="26">
      <c r="A18" t="inlineStr">
        <is>
          <t>A016</t>
        </is>
      </c>
      <c r="B18" t="inlineStr">
        <is>
          <t>⬜</t>
        </is>
      </c>
      <c r="C18" s="35" t="n">
        <v>12</v>
      </c>
      <c r="D18" s="36" t="inlineStr">
        <is>
          <t>浮かぶ氷</t>
        </is>
      </c>
      <c r="E18" s="36" t="inlineStr">
        <is>
          <t>浮起来的冰块</t>
        </is>
      </c>
      <c r="F18" s="35" t="inlineStr">
        <is>
          <t>I 组建期</t>
        </is>
      </c>
      <c r="G18" s="37" t="inlineStr">
        <is>
          <t>核心连载</t>
        </is>
      </c>
      <c r="H18" s="36" t="inlineStr">
        <is>
          <t>校园·给食</t>
        </is>
      </c>
      <c r="I18" s="35" t="inlineStr">
        <is>
          <t>2月</t>
        </is>
      </c>
      <c r="J18" s="36" t="inlineStr">
        <is>
          <t>慧美·志郎</t>
        </is>
      </c>
      <c r="K18" s="36" t="inlineStr">
        <is>
          <t>光·慧美·志郎·珣（+瑆 笔记）</t>
        </is>
      </c>
      <c r="L18" s="36" t="inlineStr">
        <is>
          <t>力学</t>
        </is>
      </c>
      <c r="M18" s="36" t="inlineStr">
        <is>
          <t>热学</t>
        </is>
      </c>
      <c r="N18" s="36" t="inlineStr">
        <is>
          <t>材料</t>
        </is>
      </c>
      <c r="O18" s="38" t="inlineStr">
        <is>
          <t>密度差 + 浮力 + 融化吸热</t>
        </is>
      </c>
      <c r="P18" s="37" t="inlineStr">
        <is>
          <t>实验</t>
        </is>
      </c>
      <c r="Q18" s="36" t="n"/>
      <c r="R18" s="35">
        <f>IF(COUNTIF($M$2:$M$101,M13)&gt;1,"⚠ 重复","唯一")</f>
        <v/>
      </c>
    </row>
    <row r="19" ht="15" customHeight="1" s="26">
      <c r="A19" t="inlineStr">
        <is>
          <t>A017</t>
        </is>
      </c>
      <c r="B19" t="inlineStr">
        <is>
          <t>⬜ · ★L01</t>
        </is>
      </c>
      <c r="C19" s="30" t="n">
        <v>13</v>
      </c>
      <c r="D19" s="31" t="inlineStr">
        <is>
          <t>葛西さんの古地図</t>
        </is>
      </c>
      <c r="E19" s="31" t="inlineStr">
        <is>
          <t>葛西爷爷的旧地图</t>
        </is>
      </c>
      <c r="F19" s="30" t="inlineStr">
        <is>
          <t>I 组建期</t>
        </is>
      </c>
      <c r="G19" s="32" t="inlineStr">
        <is>
          <t>核心连载</t>
        </is>
      </c>
      <c r="H19" s="31" t="inlineStr">
        <is>
          <t>社区</t>
        </is>
      </c>
      <c r="I19" s="30" t="inlineStr">
        <is>
          <t>3月</t>
        </is>
      </c>
      <c r="J19" s="31" t="inlineStr">
        <is>
          <t>葛西·珣</t>
        </is>
      </c>
      <c r="K19" s="31" t="inlineStr">
        <is>
          <t>光·慧美·志郎·珣·葛西（+瑆 笔记）</t>
        </is>
      </c>
      <c r="L19" s="31" t="inlineStr">
        <is>
          <t>地理</t>
        </is>
      </c>
      <c r="M19" s="31" t="inlineStr">
        <is>
          <t>历史</t>
        </is>
      </c>
      <c r="N19" s="31" t="inlineStr">
        <is>
          <t>光学</t>
        </is>
      </c>
      <c r="O19" s="33" t="inlineStr">
        <is>
          <t>地图比例尺 + 地貌变迁 + 颜料褪色</t>
        </is>
      </c>
      <c r="P19" s="32" t="inlineStr">
        <is>
          <t>溯源+人际</t>
        </is>
      </c>
      <c r="Q19" s="31" t="inlineStr">
        <is>
          <t>种子①(旧地图)</t>
        </is>
      </c>
      <c r="R19" s="30">
        <f>IF(COUNTIF($M$2:$M$101,M14)&gt;1,"⚠ 重复","唯一")</f>
        <v/>
      </c>
    </row>
    <row r="20" ht="15" customHeight="1" s="26">
      <c r="A20" t="inlineStr">
        <is>
          <t>A018</t>
        </is>
      </c>
      <c r="B20" t="inlineStr">
        <is>
          <t>⬜</t>
        </is>
      </c>
      <c r="C20" s="35" t="n">
        <v>14</v>
      </c>
      <c r="D20" s="36" t="inlineStr">
        <is>
          <t>曲がるストロー</t>
        </is>
      </c>
      <c r="E20" s="36" t="inlineStr">
        <is>
          <t>弯曲的吸管</t>
        </is>
      </c>
      <c r="F20" s="35" t="inlineStr">
        <is>
          <t>I 组建期</t>
        </is>
      </c>
      <c r="G20" s="37" t="inlineStr">
        <is>
          <t>外延单元</t>
        </is>
      </c>
      <c r="H20" s="36" t="inlineStr">
        <is>
          <t>家庭</t>
        </is>
      </c>
      <c r="I20" s="35" t="inlineStr">
        <is>
          <t>4月</t>
        </is>
      </c>
      <c r="J20" s="36" t="inlineStr">
        <is>
          <t>珣·瑆</t>
        </is>
      </c>
      <c r="K20" s="36" t="inlineStr">
        <is>
          <t>光·慧美·志郎·珣（+瑆 笔记）</t>
        </is>
      </c>
      <c r="L20" s="36" t="inlineStr">
        <is>
          <t>光学</t>
        </is>
      </c>
      <c r="M20" s="36" t="inlineStr">
        <is>
          <t>流体</t>
        </is>
      </c>
      <c r="N20" s="36" t="inlineStr">
        <is>
          <t>感知</t>
        </is>
      </c>
      <c r="O20" s="38" t="inlineStr">
        <is>
          <t>折射 + 液面 + 视错觉</t>
        </is>
      </c>
      <c r="P20" s="37" t="inlineStr">
        <is>
          <t>感知预热</t>
        </is>
      </c>
      <c r="Q20" s="36" t="n"/>
      <c r="R20" s="35">
        <f>IF(COUNTIF($M$2:$M$101,M15)&gt;1,"⚠ 重复","唯一")</f>
        <v/>
      </c>
    </row>
    <row r="21" ht="15" customHeight="1" s="26">
      <c r="A21" t="inlineStr">
        <is>
          <t>A019</t>
        </is>
      </c>
      <c r="B21" t="inlineStr">
        <is>
          <t>⬜</t>
        </is>
      </c>
      <c r="C21" s="35" t="n">
        <v>15</v>
      </c>
      <c r="D21" s="36" t="inlineStr">
        <is>
          <t>におう教室</t>
        </is>
      </c>
      <c r="E21" s="36" t="inlineStr">
        <is>
          <t>有味道的教室</t>
        </is>
      </c>
      <c r="F21" s="35" t="inlineStr">
        <is>
          <t>I 组建期</t>
        </is>
      </c>
      <c r="G21" s="37" t="inlineStr">
        <is>
          <t>核心连载</t>
        </is>
      </c>
      <c r="H21" s="36" t="inlineStr">
        <is>
          <t>校园</t>
        </is>
      </c>
      <c r="I21" s="35" t="inlineStr">
        <is>
          <t>5月</t>
        </is>
      </c>
      <c r="J21" s="36" t="inlineStr">
        <is>
          <t>慧美</t>
        </is>
      </c>
      <c r="K21" s="36" t="inlineStr">
        <is>
          <t>光·慧美·志郎·珣（+瑆 笔记）</t>
        </is>
      </c>
      <c r="L21" s="36" t="inlineStr">
        <is>
          <t>食品化学</t>
        </is>
      </c>
      <c r="M21" s="36" t="inlineStr">
        <is>
          <t>微生物</t>
        </is>
      </c>
      <c r="N21" s="36" t="inlineStr">
        <is>
          <t>气象</t>
        </is>
      </c>
      <c r="O21" s="38" t="inlineStr">
        <is>
          <t>发酵气味 + 菌群 + 通风对流</t>
        </is>
      </c>
      <c r="P21" s="37" t="inlineStr">
        <is>
          <t>实验</t>
        </is>
      </c>
      <c r="Q21" s="36" t="n"/>
      <c r="R21" s="35">
        <f>IF(COUNTIF($M$2:$M$101,M16)&gt;1,"⚠ 重复","唯一")</f>
        <v/>
      </c>
    </row>
    <row r="22" ht="29.85" customHeight="1" s="26">
      <c r="A22" t="inlineStr">
        <is>
          <t>A020</t>
        </is>
      </c>
      <c r="B22" t="inlineStr">
        <is>
          <t>⬜</t>
        </is>
      </c>
      <c r="C22" s="35" t="n">
        <v>16</v>
      </c>
      <c r="D22" s="36" t="inlineStr">
        <is>
          <t>影絵の怪</t>
        </is>
      </c>
      <c r="E22" s="36" t="inlineStr">
        <is>
          <t>影子戏的怪影</t>
        </is>
      </c>
      <c r="F22" s="35" t="inlineStr">
        <is>
          <t>I 组建期</t>
        </is>
      </c>
      <c r="G22" s="37" t="inlineStr">
        <is>
          <t>核心连载</t>
        </is>
      </c>
      <c r="H22" s="36" t="inlineStr">
        <is>
          <t>校园·社区</t>
        </is>
      </c>
      <c r="I22" s="35" t="inlineStr">
        <is>
          <t>6月</t>
        </is>
      </c>
      <c r="J22" s="36" t="inlineStr">
        <is>
          <t>珣</t>
        </is>
      </c>
      <c r="K22" s="36" t="inlineStr">
        <is>
          <t>光·慧美·志郎·珣（+瑆 笔记）</t>
        </is>
      </c>
      <c r="L22" s="36" t="inlineStr">
        <is>
          <t>光学</t>
        </is>
      </c>
      <c r="M22" s="36" t="inlineStr">
        <is>
          <t>几何</t>
        </is>
      </c>
      <c r="N22" s="36" t="inlineStr">
        <is>
          <t>感知</t>
        </is>
      </c>
      <c r="O22" s="38" t="inlineStr">
        <is>
          <t>多光源影 + 投影几何 + 视错觉</t>
        </is>
      </c>
      <c r="P22" s="37" t="inlineStr">
        <is>
          <t>感知</t>
        </is>
      </c>
      <c r="Q22" s="36" t="n"/>
      <c r="R22" s="35">
        <f>IF(COUNTIF($M$2:$M$101,M17)&gt;1,"⚠ 重复","唯一")</f>
        <v/>
      </c>
    </row>
    <row r="23" ht="15" customHeight="1" s="26">
      <c r="A23" t="inlineStr">
        <is>
          <t>A021</t>
        </is>
      </c>
      <c r="B23" t="inlineStr">
        <is>
          <t>⬜</t>
        </is>
      </c>
      <c r="C23" s="35" t="n">
        <v>17</v>
      </c>
      <c r="D23" s="36" t="inlineStr">
        <is>
          <t>動く植木</t>
        </is>
      </c>
      <c r="E23" s="36" t="inlineStr">
        <is>
          <t>会动的盆栽</t>
        </is>
      </c>
      <c r="F23" s="35" t="inlineStr">
        <is>
          <t>I 组建期</t>
        </is>
      </c>
      <c r="G23" s="37" t="inlineStr">
        <is>
          <t>核心连载</t>
        </is>
      </c>
      <c r="H23" s="36" t="inlineStr">
        <is>
          <t>校园·植物角</t>
        </is>
      </c>
      <c r="I23" s="35" t="inlineStr">
        <is>
          <t>7月</t>
        </is>
      </c>
      <c r="J23" s="36" t="inlineStr">
        <is>
          <t>珣</t>
        </is>
      </c>
      <c r="K23" s="36" t="inlineStr">
        <is>
          <t>光·慧美·志郎·珣（+瑆 笔记）</t>
        </is>
      </c>
      <c r="L23" s="36" t="inlineStr">
        <is>
          <t>植物</t>
        </is>
      </c>
      <c r="M23" s="36" t="inlineStr">
        <is>
          <t>光学</t>
        </is>
      </c>
      <c r="N23" s="36" t="inlineStr">
        <is>
          <t>生物</t>
        </is>
      </c>
      <c r="O23" s="38" t="inlineStr">
        <is>
          <t>光周期 + 向光性 + 膨压运动</t>
        </is>
      </c>
      <c r="P23" s="37" t="inlineStr">
        <is>
          <t>微观</t>
        </is>
      </c>
      <c r="Q23" s="36" t="n"/>
      <c r="R23" s="35">
        <f>IF(COUNTIF($M$2:$M$101,M18)&gt;1,"⚠ 重复","唯一")</f>
        <v/>
      </c>
    </row>
    <row r="24" ht="15" customHeight="1" s="26">
      <c r="A24" t="inlineStr">
        <is>
          <t>A022</t>
        </is>
      </c>
      <c r="B24" t="inlineStr">
        <is>
          <t>⬜</t>
        </is>
      </c>
      <c r="C24" s="35" t="n">
        <v>18</v>
      </c>
      <c r="D24" s="36" t="inlineStr">
        <is>
          <t>鳥のものまね</t>
        </is>
      </c>
      <c r="E24" s="36" t="inlineStr">
        <is>
          <t>鸟的口技</t>
        </is>
      </c>
      <c r="F24" s="35" t="inlineStr">
        <is>
          <t>I 组建期</t>
        </is>
      </c>
      <c r="G24" s="37" t="inlineStr">
        <is>
          <t>外延单元</t>
        </is>
      </c>
      <c r="H24" s="36" t="inlineStr">
        <is>
          <t>社区·公园</t>
        </is>
      </c>
      <c r="I24" s="35" t="inlineStr">
        <is>
          <t>9月</t>
        </is>
      </c>
      <c r="J24" s="36" t="inlineStr">
        <is>
          <t>珣</t>
        </is>
      </c>
      <c r="K24" s="36" t="inlineStr">
        <is>
          <t>光·慧美·志郎·珣（+瑆 笔记）</t>
        </is>
      </c>
      <c r="L24" s="36" t="inlineStr">
        <is>
          <t>动物</t>
        </is>
      </c>
      <c r="M24" s="36" t="inlineStr">
        <is>
          <t>声学</t>
        </is>
      </c>
      <c r="N24" s="36" t="inlineStr">
        <is>
          <t>人体</t>
        </is>
      </c>
      <c r="O24" s="38" t="inlineStr">
        <is>
          <t>听觉范围 + 声音频率 + 鸟类发声</t>
        </is>
      </c>
      <c r="P24" s="37" t="inlineStr">
        <is>
          <t>微观</t>
        </is>
      </c>
      <c r="Q24" s="36" t="n"/>
      <c r="R24" s="35">
        <f>IF(COUNTIF($M$2:$M$101,M19)&gt;1,"⚠ 重复","唯一")</f>
        <v/>
      </c>
    </row>
    <row r="25" ht="15" customHeight="1" s="26">
      <c r="A25" t="inlineStr">
        <is>
          <t>A023</t>
        </is>
      </c>
      <c r="B25" t="inlineStr">
        <is>
          <t>⬜</t>
        </is>
      </c>
      <c r="C25" s="35" t="n">
        <v>19</v>
      </c>
      <c r="D25" s="36" t="inlineStr">
        <is>
          <t>濡れない傘</t>
        </is>
      </c>
      <c r="E25" s="36" t="inlineStr">
        <is>
          <t>淋不湿的伞</t>
        </is>
      </c>
      <c r="F25" s="35" t="inlineStr">
        <is>
          <t>I 组建期</t>
        </is>
      </c>
      <c r="G25" s="37" t="inlineStr">
        <is>
          <t>外延单元</t>
        </is>
      </c>
      <c r="H25" s="36" t="inlineStr">
        <is>
          <t>家庭</t>
        </is>
      </c>
      <c r="I25" s="35" t="inlineStr">
        <is>
          <t>10月秋雨</t>
        </is>
      </c>
      <c r="J25" s="36" t="inlineStr">
        <is>
          <t>志郎</t>
        </is>
      </c>
      <c r="K25" s="36" t="inlineStr">
        <is>
          <t>光·慧美·志郎·珣（+瑆 笔记）</t>
        </is>
      </c>
      <c r="L25" s="36" t="inlineStr">
        <is>
          <t>材料</t>
        </is>
      </c>
      <c r="M25" s="36" t="inlineStr">
        <is>
          <t>流体</t>
        </is>
      </c>
      <c r="N25" s="36" t="inlineStr">
        <is>
          <t>化学</t>
        </is>
      </c>
      <c r="O25" s="38" t="inlineStr">
        <is>
          <t>涂层化学 + 疏水表面 + 表面张力</t>
        </is>
      </c>
      <c r="P25" s="37" t="inlineStr">
        <is>
          <t>结构</t>
        </is>
      </c>
      <c r="Q25" s="36" t="n"/>
      <c r="R25" s="35">
        <f>IF(COUNTIF($M$2:$M$101,M20)&gt;1,"⚠ 重复","唯一")</f>
        <v/>
      </c>
    </row>
    <row r="26" ht="15" customHeight="1" s="26">
      <c r="A26" t="inlineStr">
        <is>
          <t>A024</t>
        </is>
      </c>
      <c r="B26" t="inlineStr">
        <is>
          <t>⬜</t>
        </is>
      </c>
      <c r="C26" s="35" t="n">
        <v>20</v>
      </c>
      <c r="D26" s="36" t="inlineStr">
        <is>
          <t>消えた虹</t>
        </is>
      </c>
      <c r="E26" s="36" t="inlineStr">
        <is>
          <t>消失的彩虹</t>
        </is>
      </c>
      <c r="F26" s="35" t="inlineStr">
        <is>
          <t>I 组建期</t>
        </is>
      </c>
      <c r="G26" s="37" t="inlineStr">
        <is>
          <t>核心连载</t>
        </is>
      </c>
      <c r="H26" s="36" t="inlineStr">
        <is>
          <t>校园</t>
        </is>
      </c>
      <c r="I26" s="35" t="inlineStr">
        <is>
          <t>11月</t>
        </is>
      </c>
      <c r="J26" s="36" t="inlineStr">
        <is>
          <t>慧美·珣</t>
        </is>
      </c>
      <c r="K26" s="36" t="inlineStr">
        <is>
          <t>光·慧美·志郎·珣（+瑆 笔记）</t>
        </is>
      </c>
      <c r="L26" s="36" t="inlineStr">
        <is>
          <t>光学</t>
        </is>
      </c>
      <c r="M26" s="36" t="inlineStr">
        <is>
          <t>气象</t>
        </is>
      </c>
      <c r="N26" s="36" t="inlineStr">
        <is>
          <t>几何</t>
        </is>
      </c>
      <c r="O26" s="38" t="inlineStr">
        <is>
          <t>太阳角 + 水滴折射 + 色散</t>
        </is>
      </c>
      <c r="P26" s="37" t="inlineStr">
        <is>
          <t>实验+微观</t>
        </is>
      </c>
      <c r="Q26" s="36" t="n"/>
      <c r="R26" s="35">
        <f>IF(COUNTIF($M$2:$M$101,M21)&gt;1,"⚠ 重复","唯一")</f>
        <v/>
      </c>
    </row>
    <row r="27" ht="15" customHeight="1" s="26">
      <c r="A27" t="inlineStr">
        <is>
          <t>B001</t>
        </is>
      </c>
      <c r="B27" t="inlineStr">
        <is>
          <t>⬜</t>
        </is>
      </c>
      <c r="C27" s="35" t="n">
        <v>21</v>
      </c>
      <c r="D27" s="36" t="inlineStr">
        <is>
          <t>名古屋城のしゃちほこ</t>
        </is>
      </c>
      <c r="E27" s="36" t="inlineStr">
        <is>
          <t>名古屋城的金鯱</t>
        </is>
      </c>
      <c r="F27" s="35" t="inlineStr">
        <is>
          <t>I 组建期</t>
        </is>
      </c>
      <c r="G27" s="37" t="inlineStr">
        <is>
          <t>外延单元</t>
        </is>
      </c>
      <c r="H27" s="36" t="inlineStr">
        <is>
          <t>城市特典·远足</t>
        </is>
      </c>
      <c r="I27" s="35" t="inlineStr">
        <is>
          <t>4月</t>
        </is>
      </c>
      <c r="J27" s="36" t="inlineStr">
        <is>
          <t>志郎·珣</t>
        </is>
      </c>
      <c r="K27" s="36" t="inlineStr">
        <is>
          <t>光·慧美·志郎·珣（+瑆 笔记）</t>
        </is>
      </c>
      <c r="L27" s="36" t="inlineStr">
        <is>
          <t>建筑</t>
        </is>
      </c>
      <c r="M27" s="36" t="inlineStr">
        <is>
          <t>材料</t>
        </is>
      </c>
      <c r="N27" s="36" t="inlineStr">
        <is>
          <t>历史</t>
        </is>
      </c>
      <c r="O27" s="38" t="inlineStr">
        <is>
          <t>抗震结构 + 避雷原理 + 金属氧化</t>
        </is>
      </c>
      <c r="P27" s="37" t="inlineStr">
        <is>
          <t>结构+溯源</t>
        </is>
      </c>
      <c r="Q27" s="36" t="n"/>
      <c r="R27" s="35">
        <f>IF(COUNTIF($M$2:$M$101,M22)&gt;1,"⚠ 重复","唯一")</f>
        <v/>
      </c>
    </row>
    <row r="28" ht="15" customHeight="1" s="26">
      <c r="A28" t="inlineStr">
        <is>
          <t>B002</t>
        </is>
      </c>
      <c r="B28" t="inlineStr">
        <is>
          <t>⬜</t>
        </is>
      </c>
      <c r="C28" s="35" t="n">
        <v>22</v>
      </c>
      <c r="D28" s="36" t="inlineStr">
        <is>
          <t>熱田の森</t>
        </is>
      </c>
      <c r="E28" s="36" t="inlineStr">
        <is>
          <t>热田神宫的森林</t>
        </is>
      </c>
      <c r="F28" s="35" t="inlineStr">
        <is>
          <t>I 组建期</t>
        </is>
      </c>
      <c r="G28" s="37" t="inlineStr">
        <is>
          <t>外延单元</t>
        </is>
      </c>
      <c r="H28" s="36" t="inlineStr">
        <is>
          <t>城市特典·远足</t>
        </is>
      </c>
      <c r="I28" s="35" t="inlineStr">
        <is>
          <t>5月</t>
        </is>
      </c>
      <c r="J28" s="36" t="inlineStr">
        <is>
          <t>珣</t>
        </is>
      </c>
      <c r="K28" s="36" t="inlineStr">
        <is>
          <t>光·慧美·志郎·珣（+瑆 笔记）</t>
        </is>
      </c>
      <c r="L28" s="36" t="inlineStr">
        <is>
          <t>生物</t>
        </is>
      </c>
      <c r="M28" s="36" t="inlineStr">
        <is>
          <t>气象</t>
        </is>
      </c>
      <c r="N28" s="36" t="inlineStr">
        <is>
          <t>声学</t>
        </is>
      </c>
      <c r="O28" s="38" t="inlineStr">
        <is>
          <t>树冠隔音 + 森林微气候 + 空气湿度</t>
        </is>
      </c>
      <c r="P28" s="37" t="inlineStr">
        <is>
          <t>微观</t>
        </is>
      </c>
      <c r="Q28" s="36" t="n"/>
      <c r="R28" s="35">
        <f>IF(COUNTIF($M$2:$M$101,M23)&gt;1,"⚠ 重复","唯一")</f>
        <v/>
      </c>
    </row>
    <row r="29" ht="15" customHeight="1" s="26">
      <c r="A29" t="inlineStr">
        <is>
          <t>B003</t>
        </is>
      </c>
      <c r="B29" t="inlineStr">
        <is>
          <t>⬜</t>
        </is>
      </c>
      <c r="C29" s="35" t="n">
        <v>23</v>
      </c>
      <c r="D29" s="36" t="inlineStr">
        <is>
          <t>犬山城の天守</t>
        </is>
      </c>
      <c r="E29" s="36" t="inlineStr">
        <is>
          <t>犬山城天守</t>
        </is>
      </c>
      <c r="F29" s="35" t="inlineStr">
        <is>
          <t>I 组建期</t>
        </is>
      </c>
      <c r="G29" s="37" t="inlineStr">
        <is>
          <t>外延单元</t>
        </is>
      </c>
      <c r="H29" s="36" t="inlineStr">
        <is>
          <t>城市特典·修学旅行</t>
        </is>
      </c>
      <c r="I29" s="35" t="inlineStr">
        <is>
          <t>6月</t>
        </is>
      </c>
      <c r="J29" s="36" t="inlineStr">
        <is>
          <t>志郎·珣</t>
        </is>
      </c>
      <c r="K29" s="36" t="inlineStr">
        <is>
          <t>光·慧美·志郎·珣（+瑆 笔记）</t>
        </is>
      </c>
      <c r="L29" s="36" t="inlineStr">
        <is>
          <t>力学</t>
        </is>
      </c>
      <c r="M29" s="36" t="inlineStr">
        <is>
          <t>建筑</t>
        </is>
      </c>
      <c r="N29" s="36" t="inlineStr">
        <is>
          <t>工程</t>
        </is>
      </c>
      <c r="O29" s="38" t="inlineStr">
        <is>
          <t>抗震阻尼 + 木构榫卯 + 重心平衡</t>
        </is>
      </c>
      <c r="P29" s="37" t="inlineStr">
        <is>
          <t>结构还原</t>
        </is>
      </c>
      <c r="Q29" s="36" t="n"/>
      <c r="R29" s="35">
        <f>IF(COUNTIF($M$2:$M$101,M24)&gt;1,"⚠ 重复","唯一")</f>
        <v/>
      </c>
    </row>
    <row r="30" ht="15" customHeight="1" s="26">
      <c r="A30" t="inlineStr">
        <is>
          <t>B004</t>
        </is>
      </c>
      <c r="B30" t="inlineStr">
        <is>
          <t>⬜</t>
        </is>
      </c>
      <c r="C30" s="35" t="n">
        <v>24</v>
      </c>
      <c r="D30" s="36" t="inlineStr">
        <is>
          <t>リニア館の磁気</t>
        </is>
      </c>
      <c r="E30" s="36" t="inlineStr">
        <is>
          <t>磁浮馆的磁力</t>
        </is>
      </c>
      <c r="F30" s="35" t="inlineStr">
        <is>
          <t>I 组建期</t>
        </is>
      </c>
      <c r="G30" s="37" t="inlineStr">
        <is>
          <t>外延单元</t>
        </is>
      </c>
      <c r="H30" s="36" t="inlineStr">
        <is>
          <t>城市特典·科学馆</t>
        </is>
      </c>
      <c r="I30" s="35" t="inlineStr">
        <is>
          <t>7月</t>
        </is>
      </c>
      <c r="J30" s="36" t="inlineStr">
        <is>
          <t>慧美·珣</t>
        </is>
      </c>
      <c r="K30" s="36" t="inlineStr">
        <is>
          <t>光·慧美·志郎·珣（+瑆 笔记）</t>
        </is>
      </c>
      <c r="L30" s="36" t="inlineStr">
        <is>
          <t>电磁</t>
        </is>
      </c>
      <c r="M30" s="36" t="inlineStr">
        <is>
          <t>工程</t>
        </is>
      </c>
      <c r="N30" s="36" t="inlineStr">
        <is>
          <t>力学</t>
        </is>
      </c>
      <c r="O30" s="38" t="inlineStr">
        <is>
          <t>涡流 + 电磁感应 + 磁悬浮</t>
        </is>
      </c>
      <c r="P30" s="37" t="inlineStr">
        <is>
          <t>实验</t>
        </is>
      </c>
      <c r="Q30" s="36" t="n"/>
      <c r="R30" s="35">
        <f>IF(COUNTIF($M$2:$M$101,M25)&gt;1,"⚠ 重复","唯一")</f>
        <v/>
      </c>
    </row>
    <row r="31" ht="29.85" customHeight="1" s="26">
      <c r="A31" t="inlineStr">
        <is>
          <t>B005</t>
        </is>
      </c>
      <c r="B31" t="inlineStr">
        <is>
          <t>⬜</t>
        </is>
      </c>
      <c r="C31" s="35" t="n">
        <v>25</v>
      </c>
      <c r="D31" s="36" t="inlineStr">
        <is>
          <t>動物園の鳴き声</t>
        </is>
      </c>
      <c r="E31" s="36" t="inlineStr">
        <is>
          <t>东山动物园的叫声</t>
        </is>
      </c>
      <c r="F31" s="35" t="inlineStr">
        <is>
          <t>I 组建期</t>
        </is>
      </c>
      <c r="G31" s="37" t="inlineStr">
        <is>
          <t>外延单元</t>
        </is>
      </c>
      <c r="H31" s="36" t="inlineStr">
        <is>
          <t>城市特典</t>
        </is>
      </c>
      <c r="I31" s="35" t="inlineStr">
        <is>
          <t>8月</t>
        </is>
      </c>
      <c r="J31" s="36" t="inlineStr">
        <is>
          <t>珣</t>
        </is>
      </c>
      <c r="K31" s="36" t="inlineStr">
        <is>
          <t>光·慧美·志郎·珣（+瑆 笔记）</t>
        </is>
      </c>
      <c r="L31" s="36" t="inlineStr">
        <is>
          <t>动物</t>
        </is>
      </c>
      <c r="M31" s="36" t="inlineStr">
        <is>
          <t>声学</t>
        </is>
      </c>
      <c r="N31" s="36" t="inlineStr">
        <is>
          <t>行为</t>
        </is>
      </c>
      <c r="O31" s="38" t="inlineStr">
        <is>
          <t>共鸣腔 + 动物发声 + 行为信号</t>
        </is>
      </c>
      <c r="P31" s="37" t="inlineStr">
        <is>
          <t>微观</t>
        </is>
      </c>
      <c r="Q31" s="36" t="n"/>
      <c r="R31" s="35">
        <f>IF(COUNTIF($M$2:$M$101,M26)&gt;1,"⚠ 重复","唯一")</f>
        <v/>
      </c>
    </row>
    <row r="32" ht="15" customHeight="1" s="26">
      <c r="A32" t="inlineStr">
        <is>
          <t>B006</t>
        </is>
      </c>
      <c r="B32" t="inlineStr">
        <is>
          <t>⬜</t>
        </is>
      </c>
      <c r="C32" s="35" t="n">
        <v>26</v>
      </c>
      <c r="D32" s="36" t="inlineStr">
        <is>
          <t>プラネタリウムの北</t>
        </is>
      </c>
      <c r="E32" s="36" t="inlineStr">
        <is>
          <t>天文馆的北方</t>
        </is>
      </c>
      <c r="F32" s="35" t="inlineStr">
        <is>
          <t>I 组建期</t>
        </is>
      </c>
      <c r="G32" s="37" t="inlineStr">
        <is>
          <t>外延单元</t>
        </is>
      </c>
      <c r="H32" s="36" t="inlineStr">
        <is>
          <t>城市特典·天文</t>
        </is>
      </c>
      <c r="I32" s="35" t="inlineStr">
        <is>
          <t>9月</t>
        </is>
      </c>
      <c r="J32" s="36" t="inlineStr">
        <is>
          <t>慧美·珣</t>
        </is>
      </c>
      <c r="K32" s="36" t="inlineStr">
        <is>
          <t>光·慧美·志郎·珣（+瑆 笔记）</t>
        </is>
      </c>
      <c r="L32" s="36" t="inlineStr">
        <is>
          <t>天文</t>
        </is>
      </c>
      <c r="M32" s="36" t="inlineStr">
        <is>
          <t>地理</t>
        </is>
      </c>
      <c r="N32" s="36" t="inlineStr">
        <is>
          <t>数学</t>
        </is>
      </c>
      <c r="O32" s="38" t="inlineStr">
        <is>
          <t>北极星定位 + 周日视运动 + 极轴</t>
        </is>
      </c>
      <c r="P32" s="37" t="inlineStr">
        <is>
          <t>实验</t>
        </is>
      </c>
      <c r="Q32" s="36" t="n"/>
      <c r="R32" s="35">
        <f>IF(COUNTIF($M$2:$M$101,M27)&gt;1,"⚠ 重复","唯一")</f>
        <v/>
      </c>
    </row>
    <row r="33" ht="15" customHeight="1" s="26">
      <c r="A33" t="inlineStr">
        <is>
          <t>B007</t>
        </is>
      </c>
      <c r="B33" t="inlineStr">
        <is>
          <t>⬜ · ★</t>
        </is>
      </c>
      <c r="C33" s="30" t="n">
        <v>27</v>
      </c>
      <c r="D33" s="31" t="inlineStr">
        <is>
          <t>美術館の青</t>
        </is>
      </c>
      <c r="E33" s="31" t="inlineStr">
        <is>
          <t>美术馆的蓝色</t>
        </is>
      </c>
      <c r="F33" s="30" t="inlineStr">
        <is>
          <t>I 组建期</t>
        </is>
      </c>
      <c r="G33" s="32" t="inlineStr">
        <is>
          <t>外延单元</t>
        </is>
      </c>
      <c r="H33" s="31" t="inlineStr">
        <is>
          <t>城市特典·主题</t>
        </is>
      </c>
      <c r="I33" s="30" t="inlineStr">
        <is>
          <t>10月</t>
        </is>
      </c>
      <c r="J33" s="31" t="inlineStr">
        <is>
          <t>珣</t>
        </is>
      </c>
      <c r="K33" s="31" t="inlineStr">
        <is>
          <t>光·慧美·志郎·珣（+瑆 笔记）</t>
        </is>
      </c>
      <c r="L33" s="31" t="inlineStr">
        <is>
          <t>色彩</t>
        </is>
      </c>
      <c r="M33" s="31" t="inlineStr">
        <is>
          <t>化学</t>
        </is>
      </c>
      <c r="N33" s="31" t="inlineStr">
        <is>
          <t>光学</t>
        </is>
      </c>
      <c r="O33" s="33" t="inlineStr">
        <is>
          <t>光反射 + 光致变色 + 矿物颜料</t>
        </is>
      </c>
      <c r="P33" s="32" t="inlineStr">
        <is>
          <t>微观</t>
        </is>
      </c>
      <c r="Q33" s="31" t="inlineStr">
        <is>
          <t>种子②(矿物颜料)</t>
        </is>
      </c>
      <c r="R33" s="30">
        <f>IF(COUNTIF($M$2:$M$101,M28)&gt;1,"⚠ 重复","唯一")</f>
        <v/>
      </c>
    </row>
    <row r="34" ht="15" customHeight="1" s="26">
      <c r="A34" t="inlineStr">
        <is>
          <t>B008</t>
        </is>
      </c>
      <c r="B34" t="inlineStr">
        <is>
          <t>⬜</t>
        </is>
      </c>
      <c r="C34" s="35" t="n">
        <v>28</v>
      </c>
      <c r="D34" s="36" t="inlineStr">
        <is>
          <t>川の四六分水</t>
        </is>
      </c>
      <c r="E34" s="36" t="inlineStr">
        <is>
          <t>河边的四六分水</t>
        </is>
      </c>
      <c r="F34" s="35" t="inlineStr">
        <is>
          <t>I 组建期</t>
        </is>
      </c>
      <c r="G34" s="37" t="inlineStr">
        <is>
          <t>外延单元</t>
        </is>
      </c>
      <c r="H34" s="36" t="inlineStr">
        <is>
          <t>城市特典·治水</t>
        </is>
      </c>
      <c r="I34" s="35" t="inlineStr">
        <is>
          <t>11月</t>
        </is>
      </c>
      <c r="J34" s="36" t="inlineStr">
        <is>
          <t>志郎</t>
        </is>
      </c>
      <c r="K34" s="36" t="inlineStr">
        <is>
          <t>光·慧美·志郎·珣（+瑆 笔记）</t>
        </is>
      </c>
      <c r="L34" s="36" t="inlineStr">
        <is>
          <t>流体</t>
        </is>
      </c>
      <c r="M34" s="36" t="inlineStr">
        <is>
          <t>工程</t>
        </is>
      </c>
      <c r="N34" s="36" t="inlineStr">
        <is>
          <t>地理</t>
        </is>
      </c>
      <c r="O34" s="38" t="inlineStr">
        <is>
          <t>分水力学 + 河床形态 + 流速分配</t>
        </is>
      </c>
      <c r="P34" s="37" t="inlineStr">
        <is>
          <t>结构</t>
        </is>
      </c>
      <c r="Q34" s="36" t="n"/>
      <c r="R34" s="35">
        <f>IF(COUNTIF($M$2:$M$101,M29)&gt;1,"⚠ 重复","唯一")</f>
        <v/>
      </c>
    </row>
    <row r="35" ht="15" customHeight="1" s="26">
      <c r="A35" t="inlineStr">
        <is>
          <t>B009</t>
        </is>
      </c>
      <c r="B35" t="inlineStr">
        <is>
          <t>⬜</t>
        </is>
      </c>
      <c r="C35" s="35" t="n">
        <v>29</v>
      </c>
      <c r="D35" s="36" t="inlineStr">
        <is>
          <t>味噌蔵の温度</t>
        </is>
      </c>
      <c r="E35" s="36" t="inlineStr">
        <is>
          <t>味噌作坊的温度</t>
        </is>
      </c>
      <c r="F35" s="35" t="inlineStr">
        <is>
          <t>I 组建期</t>
        </is>
      </c>
      <c r="G35" s="37" t="inlineStr">
        <is>
          <t>外延单元</t>
        </is>
      </c>
      <c r="H35" s="36" t="inlineStr">
        <is>
          <t>城市特典·食农</t>
        </is>
      </c>
      <c r="I35" s="35" t="inlineStr">
        <is>
          <t>12月</t>
        </is>
      </c>
      <c r="J35" s="36" t="inlineStr">
        <is>
          <t>慧美</t>
        </is>
      </c>
      <c r="K35" s="36" t="inlineStr">
        <is>
          <t>光·慧美·志郎·珣（+瑆 笔记）</t>
        </is>
      </c>
      <c r="L35" s="36" t="inlineStr">
        <is>
          <t>食品化学</t>
        </is>
      </c>
      <c r="M35" s="36" t="inlineStr">
        <is>
          <t>微生物</t>
        </is>
      </c>
      <c r="N35" s="36" t="inlineStr">
        <is>
          <t>热学</t>
        </is>
      </c>
      <c r="O35" s="38" t="inlineStr">
        <is>
          <t>味噌发酵 + 恒温控制 + 熟成菌群</t>
        </is>
      </c>
      <c r="P35" s="37" t="inlineStr">
        <is>
          <t>实验</t>
        </is>
      </c>
      <c r="Q35" s="36" t="n"/>
      <c r="R35" s="35">
        <f>IF(COUNTIF($M$2:$M$101,M30)&gt;1,"⚠ 重复","唯一")</f>
        <v/>
      </c>
    </row>
    <row r="36" ht="15" customHeight="1" s="26">
      <c r="A36" t="inlineStr">
        <is>
          <t>B010</t>
        </is>
      </c>
      <c r="B36" t="inlineStr">
        <is>
          <t>⬜ · ★</t>
        </is>
      </c>
      <c r="C36" s="30" t="n">
        <v>30</v>
      </c>
      <c r="D36" s="31" t="inlineStr">
        <is>
          <t>古い鐘の音</t>
        </is>
      </c>
      <c r="E36" s="31" t="inlineStr">
        <is>
          <t>古寺的钟声</t>
        </is>
      </c>
      <c r="F36" s="30" t="inlineStr">
        <is>
          <t>I 组建期</t>
        </is>
      </c>
      <c r="G36" s="32" t="inlineStr">
        <is>
          <t>外延单元</t>
        </is>
      </c>
      <c r="H36" s="31" t="inlineStr">
        <is>
          <t>城市特典·历史</t>
        </is>
      </c>
      <c r="I36" s="30" t="inlineStr">
        <is>
          <t>1月初詣</t>
        </is>
      </c>
      <c r="J36" s="31" t="inlineStr">
        <is>
          <t>珣·葛西</t>
        </is>
      </c>
      <c r="K36" s="31" t="inlineStr">
        <is>
          <t>光·慧美·志郎·珣·葛西（+瑆 笔记）</t>
        </is>
      </c>
      <c r="L36" s="31" t="inlineStr">
        <is>
          <t>声学</t>
        </is>
      </c>
      <c r="M36" s="31" t="inlineStr">
        <is>
          <t>材料</t>
        </is>
      </c>
      <c r="N36" s="31" t="inlineStr">
        <is>
          <t>历史</t>
        </is>
      </c>
      <c r="O36" s="33" t="inlineStr">
        <is>
          <t>合金成分 + 声衰减 + 钟体共振</t>
        </is>
      </c>
      <c r="P36" s="32" t="inlineStr">
        <is>
          <t>微观+溯源</t>
        </is>
      </c>
      <c r="Q36" s="31" t="inlineStr">
        <is>
          <t>种子③(古钟合金)</t>
        </is>
      </c>
      <c r="R36" s="30">
        <f>IF(COUNTIF($M$2:$M$101,M31)&gt;1,"⚠ 重复","唯一")</f>
        <v/>
      </c>
    </row>
    <row r="37" ht="15" customHeight="1" s="26">
      <c r="A37" t="inlineStr">
        <is>
          <t>A025</t>
        </is>
      </c>
      <c r="B37" t="inlineStr">
        <is>
          <t>⬜</t>
        </is>
      </c>
      <c r="C37" s="35" t="n">
        <v>31</v>
      </c>
      <c r="D37" s="36" t="inlineStr">
        <is>
          <t>夏祭りの提灯</t>
        </is>
      </c>
      <c r="E37" s="36" t="inlineStr">
        <is>
          <t>夏日祭的灯笼</t>
        </is>
      </c>
      <c r="F37" s="35" t="inlineStr">
        <is>
          <t>I 组建期</t>
        </is>
      </c>
      <c r="G37" s="37" t="inlineStr">
        <is>
          <t>外延单元</t>
        </is>
      </c>
      <c r="H37" s="36" t="inlineStr">
        <is>
          <t>季节特别·祭典</t>
        </is>
      </c>
      <c r="I37" s="35" t="inlineStr">
        <is>
          <t>7月</t>
        </is>
      </c>
      <c r="J37" s="36" t="inlineStr">
        <is>
          <t>慧美·珣</t>
        </is>
      </c>
      <c r="K37" s="36" t="inlineStr">
        <is>
          <t>光·慧美·志郎·珣（+瑆 笔记）</t>
        </is>
      </c>
      <c r="L37" s="36" t="inlineStr">
        <is>
          <t>热学</t>
        </is>
      </c>
      <c r="M37" s="36" t="inlineStr">
        <is>
          <t>流体</t>
        </is>
      </c>
      <c r="N37" s="36" t="inlineStr">
        <is>
          <t>光学</t>
        </is>
      </c>
      <c r="O37" s="38" t="inlineStr">
        <is>
          <t>光晕散射 + 热对流 + 空气浮力</t>
        </is>
      </c>
      <c r="P37" s="37" t="inlineStr">
        <is>
          <t>实验</t>
        </is>
      </c>
      <c r="Q37" s="36" t="n"/>
      <c r="R37" s="35">
        <f>IF(COUNTIF($M$2:$M$101,M32)&gt;1,"⚠ 重复","唯一")</f>
        <v/>
      </c>
    </row>
    <row r="38" ht="15" customHeight="1" s="26">
      <c r="A38" t="inlineStr">
        <is>
          <t>A026</t>
        </is>
      </c>
      <c r="B38" t="inlineStr">
        <is>
          <t>⬜</t>
        </is>
      </c>
      <c r="C38" s="35" t="n">
        <v>32</v>
      </c>
      <c r="D38" s="36" t="inlineStr">
        <is>
          <t>花火の遅れ</t>
        </is>
      </c>
      <c r="E38" s="36" t="inlineStr">
        <is>
          <t>烟花的延迟</t>
        </is>
      </c>
      <c r="F38" s="35" t="inlineStr">
        <is>
          <t>I 组建期</t>
        </is>
      </c>
      <c r="G38" s="37" t="inlineStr">
        <is>
          <t>外延单元</t>
        </is>
      </c>
      <c r="H38" s="36" t="inlineStr">
        <is>
          <t>季节特别·祭典</t>
        </is>
      </c>
      <c r="I38" s="35" t="inlineStr">
        <is>
          <t>8月</t>
        </is>
      </c>
      <c r="J38" s="36" t="inlineStr">
        <is>
          <t>珣</t>
        </is>
      </c>
      <c r="K38" s="36" t="inlineStr">
        <is>
          <t>光·慧美·志郎·珣（+瑆 笔记）</t>
        </is>
      </c>
      <c r="L38" s="36" t="inlineStr">
        <is>
          <t>声学</t>
        </is>
      </c>
      <c r="M38" s="36" t="inlineStr">
        <is>
          <t>光学</t>
        </is>
      </c>
      <c r="N38" s="36" t="inlineStr">
        <is>
          <t>数学</t>
        </is>
      </c>
      <c r="O38" s="38" t="inlineStr">
        <is>
          <t>光速差 + 声速 + 测距计算</t>
        </is>
      </c>
      <c r="P38" s="37" t="inlineStr">
        <is>
          <t>微观+实验</t>
        </is>
      </c>
      <c r="Q38" s="36" t="n"/>
      <c r="R38" s="35">
        <f>IF(COUNTIF($M$2:$M$101,M33)&gt;1,"⚠ 重复","唯一")</f>
        <v/>
      </c>
    </row>
    <row r="39" ht="15" customHeight="1" s="26">
      <c r="A39" t="inlineStr">
        <is>
          <t>A027</t>
        </is>
      </c>
      <c r="B39" t="inlineStr">
        <is>
          <t>⬜</t>
        </is>
      </c>
      <c r="C39" s="35" t="n">
        <v>33</v>
      </c>
      <c r="D39" s="36" t="inlineStr">
        <is>
          <t>体育祭の白線</t>
        </is>
      </c>
      <c r="E39" s="36" t="inlineStr">
        <is>
          <t>运动会的白线</t>
        </is>
      </c>
      <c r="F39" s="35" t="inlineStr">
        <is>
          <t>I 组建期</t>
        </is>
      </c>
      <c r="G39" s="37" t="inlineStr">
        <is>
          <t>外延单元</t>
        </is>
      </c>
      <c r="H39" s="36" t="inlineStr">
        <is>
          <t>季节特别·校园</t>
        </is>
      </c>
      <c r="I39" s="35" t="inlineStr">
        <is>
          <t>9月运动会</t>
        </is>
      </c>
      <c r="J39" s="36" t="inlineStr">
        <is>
          <t>慧美·志郎</t>
        </is>
      </c>
      <c r="K39" s="36" t="inlineStr">
        <is>
          <t>光·慧美·志郎·珣（+瑆 笔记）</t>
        </is>
      </c>
      <c r="L39" s="36" t="inlineStr">
        <is>
          <t>化学</t>
        </is>
      </c>
      <c r="M39" s="36" t="inlineStr">
        <is>
          <t>材料</t>
        </is>
      </c>
      <c r="N39" s="36" t="inlineStr">
        <is>
          <t>几何</t>
        </is>
      </c>
      <c r="O39" s="38" t="inlineStr">
        <is>
          <t>直线测放 + 石灰反应 + 粉末附着</t>
        </is>
      </c>
      <c r="P39" s="37" t="inlineStr">
        <is>
          <t>实验</t>
        </is>
      </c>
      <c r="Q39" s="36" t="n"/>
      <c r="R39" s="35">
        <f>IF(COUNTIF($M$2:$M$101,M34)&gt;1,"⚠ 重复","唯一")</f>
        <v/>
      </c>
    </row>
    <row r="40" ht="15" customHeight="1" s="26">
      <c r="A40" t="inlineStr">
        <is>
          <t>A028</t>
        </is>
      </c>
      <c r="B40" t="inlineStr">
        <is>
          <t>⬜</t>
        </is>
      </c>
      <c r="C40" s="35" t="n">
        <v>34</v>
      </c>
      <c r="D40" s="36" t="inlineStr">
        <is>
          <t>落ち葉の渦</t>
        </is>
      </c>
      <c r="E40" s="36" t="inlineStr">
        <is>
          <t>落叶的漩涡</t>
        </is>
      </c>
      <c r="F40" s="35" t="inlineStr">
        <is>
          <t>I 组建期</t>
        </is>
      </c>
      <c r="G40" s="37" t="inlineStr">
        <is>
          <t>外延单元</t>
        </is>
      </c>
      <c r="H40" s="36" t="inlineStr">
        <is>
          <t>季节特别·秋</t>
        </is>
      </c>
      <c r="I40" s="35" t="inlineStr">
        <is>
          <t>11月</t>
        </is>
      </c>
      <c r="J40" s="36" t="inlineStr">
        <is>
          <t>珣</t>
        </is>
      </c>
      <c r="K40" s="36" t="inlineStr">
        <is>
          <t>光·慧美·志郎·珣（+瑆 笔记）</t>
        </is>
      </c>
      <c r="L40" s="36" t="inlineStr">
        <is>
          <t>流体</t>
        </is>
      </c>
      <c r="M40" s="36" t="inlineStr">
        <is>
          <t>气象</t>
        </is>
      </c>
      <c r="N40" s="36" t="inlineStr">
        <is>
          <t>力学</t>
        </is>
      </c>
      <c r="O40" s="38" t="inlineStr">
        <is>
          <t>卡门涡街 + 涡流脱落 + 风压</t>
        </is>
      </c>
      <c r="P40" s="37" t="inlineStr">
        <is>
          <t>微观</t>
        </is>
      </c>
      <c r="Q40" s="36" t="n"/>
      <c r="R40" s="35">
        <f>IF(COUNTIF($M$2:$M$101,M35)&gt;1,"⚠ 重复","唯一")</f>
        <v/>
      </c>
    </row>
    <row r="41" ht="15" customHeight="1" s="26">
      <c r="A41" t="inlineStr">
        <is>
          <t>C002</t>
        </is>
      </c>
      <c r="B41" t="inlineStr">
        <is>
          <t>⬜</t>
        </is>
      </c>
      <c r="C41" s="35" t="n">
        <v>35</v>
      </c>
      <c r="D41" s="36" t="inlineStr">
        <is>
          <t>給食のゼリー</t>
        </is>
      </c>
      <c r="E41" s="36" t="inlineStr">
        <is>
          <t>给食的果冻</t>
        </is>
      </c>
      <c r="F41" s="35" t="inlineStr">
        <is>
          <t>I 组建期</t>
        </is>
      </c>
      <c r="G41" s="37" t="inlineStr">
        <is>
          <t>外延单元</t>
        </is>
      </c>
      <c r="H41" s="36" t="inlineStr">
        <is>
          <t>主题专项·食品</t>
        </is>
      </c>
      <c r="I41" s="35" t="inlineStr">
        <is>
          <t>1月</t>
        </is>
      </c>
      <c r="J41" s="36" t="inlineStr">
        <is>
          <t>慧美</t>
        </is>
      </c>
      <c r="K41" s="36" t="inlineStr">
        <is>
          <t>光·慧美·志郎·珣（+瑆 笔记）</t>
        </is>
      </c>
      <c r="L41" s="36" t="inlineStr">
        <is>
          <t>食品化学</t>
        </is>
      </c>
      <c r="M41" s="36" t="inlineStr">
        <is>
          <t>材料</t>
        </is>
      </c>
      <c r="N41" s="36" t="inlineStr">
        <is>
          <t>生物</t>
        </is>
      </c>
      <c r="O41" s="38" t="inlineStr">
        <is>
          <t>凝胶化 + 温度控制 + 蛋白酶</t>
        </is>
      </c>
      <c r="P41" s="37" t="inlineStr">
        <is>
          <t>实验</t>
        </is>
      </c>
      <c r="Q41" s="36" t="n"/>
      <c r="R41" s="35">
        <f>IF(COUNTIF($M$2:$M$101,M36)&gt;1,"⚠ 重复","唯一")</f>
        <v/>
      </c>
    </row>
    <row r="42" ht="29.85" customHeight="1" s="26">
      <c r="A42" t="inlineStr">
        <is>
          <t>A029</t>
        </is>
      </c>
      <c r="B42" t="inlineStr">
        <is>
          <t>⬜</t>
        </is>
      </c>
      <c r="C42" s="35" t="n">
        <v>36</v>
      </c>
      <c r="D42" s="36" t="inlineStr">
        <is>
          <t>図書室の迷子本</t>
        </is>
      </c>
      <c r="E42" s="36" t="inlineStr">
        <is>
          <t>图书室的迷路书</t>
        </is>
      </c>
      <c r="F42" s="35" t="inlineStr">
        <is>
          <t>I 组建期</t>
        </is>
      </c>
      <c r="G42" s="37" t="inlineStr">
        <is>
          <t>外延单元</t>
        </is>
      </c>
      <c r="H42" s="36" t="inlineStr">
        <is>
          <t>主题专项·图书馆学</t>
        </is>
      </c>
      <c r="I42" s="35" t="inlineStr">
        <is>
          <t>2月</t>
        </is>
      </c>
      <c r="J42" s="36" t="inlineStr">
        <is>
          <t>瑆</t>
        </is>
      </c>
      <c r="K42" s="36" t="inlineStr">
        <is>
          <t>光·慧美·志郎·珣（+瑆 笔记）</t>
        </is>
      </c>
      <c r="L42" s="36" t="inlineStr">
        <is>
          <t>图书馆学</t>
        </is>
      </c>
      <c r="M42" s="36" t="inlineStr">
        <is>
          <t>逻辑</t>
        </is>
      </c>
      <c r="N42" s="36" t="inlineStr">
        <is>
          <t>心理</t>
        </is>
      </c>
      <c r="O42" s="38" t="inlineStr">
        <is>
          <t>借阅行为 + 图书分类 + 索书号系统</t>
        </is>
      </c>
      <c r="P42" s="37" t="inlineStr">
        <is>
          <t>人际+逻辑</t>
        </is>
      </c>
      <c r="Q42" s="36" t="n"/>
      <c r="R42" s="35">
        <f>IF(COUNTIF($M$2:$M$101,M37)&gt;1,"⚠ 重复","唯一")</f>
        <v/>
      </c>
    </row>
    <row r="43" ht="29.85" customHeight="1" s="26">
      <c r="A43" t="inlineStr">
        <is>
          <t>A030</t>
        </is>
      </c>
      <c r="B43" t="inlineStr">
        <is>
          <t>⬜</t>
        </is>
      </c>
      <c r="C43" s="35" t="n">
        <v>37</v>
      </c>
      <c r="D43" s="36" t="inlineStr">
        <is>
          <t>自由研究の失敗</t>
        </is>
      </c>
      <c r="E43" s="36" t="inlineStr">
        <is>
          <t>自由研究的失败</t>
        </is>
      </c>
      <c r="F43" s="35" t="inlineStr">
        <is>
          <t>I 组建期</t>
        </is>
      </c>
      <c r="G43" s="37" t="inlineStr">
        <is>
          <t>外延单元</t>
        </is>
      </c>
      <c r="H43" s="36" t="inlineStr">
        <is>
          <t>季节特别·暑假</t>
        </is>
      </c>
      <c r="I43" s="35" t="inlineStr">
        <is>
          <t>8月</t>
        </is>
      </c>
      <c r="J43" s="36" t="inlineStr">
        <is>
          <t>慧美</t>
        </is>
      </c>
      <c r="K43" s="36" t="inlineStr">
        <is>
          <t>光·慧美·志郎·珣（+瑆 笔记）</t>
        </is>
      </c>
      <c r="L43" s="36" t="inlineStr">
        <is>
          <t>实验方法</t>
        </is>
      </c>
      <c r="M43" s="36" t="inlineStr">
        <is>
          <t>数学</t>
        </is>
      </c>
      <c r="N43" s="36" t="inlineStr">
        <is>
          <t>逻辑</t>
        </is>
      </c>
      <c r="O43" s="38" t="inlineStr">
        <is>
          <t>实验误差 + 对照实验 + 概率思维</t>
        </is>
      </c>
      <c r="P43" s="37" t="inlineStr">
        <is>
          <t>实验</t>
        </is>
      </c>
      <c r="Q43" s="36" t="n"/>
      <c r="R43" s="35">
        <f>IF(COUNTIF($M$2:$M$101,M38)&gt;1,"⚠ 重复","唯一")</f>
        <v/>
      </c>
    </row>
    <row r="44" ht="29.85" customHeight="1" s="26">
      <c r="A44" t="inlineStr">
        <is>
          <t>A031</t>
        </is>
      </c>
      <c r="B44" t="inlineStr">
        <is>
          <t>⬜</t>
        </is>
      </c>
      <c r="C44" s="35" t="n">
        <v>38</v>
      </c>
      <c r="D44" s="36" t="inlineStr">
        <is>
          <t>雪の朝の足跡</t>
        </is>
      </c>
      <c r="E44" s="36" t="inlineStr">
        <is>
          <t>雪天早晨的脚印</t>
        </is>
      </c>
      <c r="F44" s="35" t="inlineStr">
        <is>
          <t>I 组建期</t>
        </is>
      </c>
      <c r="G44" s="37" t="inlineStr">
        <is>
          <t>外延单元</t>
        </is>
      </c>
      <c r="H44" s="36" t="inlineStr">
        <is>
          <t>季节特别·冬</t>
        </is>
      </c>
      <c r="I44" s="35" t="inlineStr">
        <is>
          <t>12月</t>
        </is>
      </c>
      <c r="J44" s="36" t="inlineStr">
        <is>
          <t>珣</t>
        </is>
      </c>
      <c r="K44" s="36" t="inlineStr">
        <is>
          <t>光·慧美·志郎·珣（+瑆 笔记）</t>
        </is>
      </c>
      <c r="L44" s="36" t="inlineStr">
        <is>
          <t>物态</t>
        </is>
      </c>
      <c r="M44" s="36" t="inlineStr">
        <is>
          <t>热学</t>
        </is>
      </c>
      <c r="N44" s="36" t="inlineStr">
        <is>
          <t>感知</t>
        </is>
      </c>
      <c r="O44" s="38" t="inlineStr">
        <is>
          <t>压力融化 + 痕迹错视 + 雪面热传导</t>
        </is>
      </c>
      <c r="P44" s="37" t="inlineStr">
        <is>
          <t>微观</t>
        </is>
      </c>
      <c r="Q44" s="36" t="n"/>
      <c r="R44" s="35">
        <f>IF(COUNTIF($M$2:$M$101,M39)&gt;1,"⚠ 重复","唯一")</f>
        <v/>
      </c>
    </row>
    <row r="45" ht="29.85" customHeight="1" s="26">
      <c r="A45" t="inlineStr">
        <is>
          <t>A032</t>
        </is>
      </c>
      <c r="B45" t="inlineStr">
        <is>
          <t>⬜</t>
        </is>
      </c>
      <c r="C45" s="35" t="n">
        <v>39</v>
      </c>
      <c r="D45" s="36" t="inlineStr">
        <is>
          <t>風の日の窓</t>
        </is>
      </c>
      <c r="E45" s="36" t="inlineStr">
        <is>
          <t>刮风天的窗户</t>
        </is>
      </c>
      <c r="F45" s="35" t="inlineStr">
        <is>
          <t>I 组建期</t>
        </is>
      </c>
      <c r="G45" s="37" t="inlineStr">
        <is>
          <t>外延单元</t>
        </is>
      </c>
      <c r="H45" s="36" t="inlineStr">
        <is>
          <t>主题专项·建筑物理</t>
        </is>
      </c>
      <c r="I45" s="35" t="inlineStr">
        <is>
          <t>3月春一番</t>
        </is>
      </c>
      <c r="J45" s="36" t="inlineStr">
        <is>
          <t>志郎</t>
        </is>
      </c>
      <c r="K45" s="36" t="inlineStr">
        <is>
          <t>光·慧美·志郎·珣（+瑆 笔记）</t>
        </is>
      </c>
      <c r="L45" s="36" t="inlineStr">
        <is>
          <t>流体</t>
        </is>
      </c>
      <c r="M45" s="36" t="inlineStr">
        <is>
          <t>建筑</t>
        </is>
      </c>
      <c r="N45" s="36" t="inlineStr">
        <is>
          <t>声学</t>
        </is>
      </c>
      <c r="O45" s="38" t="inlineStr">
        <is>
          <t>伯努利效应 + 建筑风压 + 缝隙啸声</t>
        </is>
      </c>
      <c r="P45" s="37" t="inlineStr">
        <is>
          <t>结构</t>
        </is>
      </c>
      <c r="Q45" s="36" t="n"/>
      <c r="R45" s="35">
        <f>IF(COUNTIF($M$2:$M$101,M40)&gt;1,"⚠ 重复","唯一")</f>
        <v/>
      </c>
    </row>
    <row r="46" ht="29.85" customHeight="1" s="26">
      <c r="A46" t="inlineStr">
        <is>
          <t>A033</t>
        </is>
      </c>
      <c r="B46" t="inlineStr">
        <is>
          <t>⬜</t>
        </is>
      </c>
      <c r="C46" s="35" t="n">
        <v>40</v>
      </c>
      <c r="D46" s="36" t="inlineStr">
        <is>
          <t>古いラジオの声</t>
        </is>
      </c>
      <c r="E46" s="36" t="inlineStr">
        <is>
          <t>旧收音机的杂音</t>
        </is>
      </c>
      <c r="F46" s="35" t="inlineStr">
        <is>
          <t>I 组建期</t>
        </is>
      </c>
      <c r="G46" s="37" t="inlineStr">
        <is>
          <t>外延单元</t>
        </is>
      </c>
      <c r="H46" s="36" t="inlineStr">
        <is>
          <t>主题专项·电</t>
        </is>
      </c>
      <c r="I46" s="35" t="inlineStr">
        <is>
          <t>4月</t>
        </is>
      </c>
      <c r="J46" s="36" t="inlineStr">
        <is>
          <t>珣</t>
        </is>
      </c>
      <c r="K46" s="36" t="inlineStr">
        <is>
          <t>光·慧美·志郎·珣（+瑆 笔记）</t>
        </is>
      </c>
      <c r="L46" s="36" t="inlineStr">
        <is>
          <t>电磁</t>
        </is>
      </c>
      <c r="M46" s="36" t="inlineStr">
        <is>
          <t>电子</t>
        </is>
      </c>
      <c r="N46" s="36" t="inlineStr">
        <is>
          <t>材料</t>
        </is>
      </c>
      <c r="O46" s="38" t="inlineStr">
        <is>
          <t>天线接收 + 无线电串扰 + 电磁屏蔽</t>
        </is>
      </c>
      <c r="P46" s="37" t="inlineStr">
        <is>
          <t>微观</t>
        </is>
      </c>
      <c r="Q46" s="36" t="n"/>
      <c r="R46" s="35">
        <f>IF(COUNTIF($M$2:$M$101,M41)&gt;1,"⚠ 重复","唯一")</f>
        <v/>
      </c>
    </row>
    <row r="47" ht="29.85" customHeight="1" s="26">
      <c r="A47" t="inlineStr">
        <is>
          <t>A051</t>
        </is>
      </c>
      <c r="B47" t="inlineStr">
        <is>
          <t>⬜ · 理紗Vol11</t>
        </is>
      </c>
      <c r="C47" s="30" t="n">
        <v>41</v>
      </c>
      <c r="D47" s="31" t="inlineStr">
        <is>
          <t>色が違う絵</t>
        </is>
      </c>
      <c r="E47" s="31" t="inlineStr">
        <is>
          <t>颜色不对的画</t>
        </is>
      </c>
      <c r="F47" s="30" t="inlineStr">
        <is>
          <t>II 感知期</t>
        </is>
      </c>
      <c r="G47" s="32" t="inlineStr">
        <is>
          <t>外延单元</t>
        </is>
      </c>
      <c r="H47" s="31" t="inlineStr">
        <is>
          <t>主题专项·感知</t>
        </is>
      </c>
      <c r="I47" s="30" t="inlineStr">
        <is>
          <t>5月</t>
        </is>
      </c>
      <c r="J47" s="31" t="inlineStr">
        <is>
          <t>理紗·慧美</t>
        </is>
      </c>
      <c r="K47" s="31" t="inlineStr">
        <is>
          <t>光·慧美·志郎·珣·理紗（+瑆 笔记）</t>
        </is>
      </c>
      <c r="L47" s="31" t="inlineStr">
        <is>
          <t>色彩</t>
        </is>
      </c>
      <c r="M47" s="31" t="inlineStr">
        <is>
          <t>光学</t>
        </is>
      </c>
      <c r="N47" s="31" t="inlineStr">
        <is>
          <t>心理</t>
        </is>
      </c>
      <c r="O47" s="33" t="inlineStr">
        <is>
          <t>条件等色 + 色彩恒常 + 色温</t>
        </is>
      </c>
      <c r="P47" s="32" t="inlineStr">
        <is>
          <t>感知+实验</t>
        </is>
      </c>
      <c r="Q47" s="31" t="inlineStr">
        <is>
          <t>理紗入社</t>
        </is>
      </c>
      <c r="R47" s="30">
        <f>IF(COUNTIF($M$2:$M$101,M42)&gt;1,"⚠ 重复","唯一")</f>
        <v/>
      </c>
    </row>
    <row r="48" ht="29.85" customHeight="1" s="26">
      <c r="A48" t="inlineStr">
        <is>
          <t>A052</t>
        </is>
      </c>
      <c r="B48" t="inlineStr">
        <is>
          <t>⬜</t>
        </is>
      </c>
      <c r="C48" s="35" t="n">
        <v>42</v>
      </c>
      <c r="D48" s="36" t="inlineStr">
        <is>
          <t>聞こえないノック</t>
        </is>
      </c>
      <c r="E48" s="36" t="inlineStr">
        <is>
          <t>听不见的敲门</t>
        </is>
      </c>
      <c r="F48" s="35" t="inlineStr">
        <is>
          <t>II 感知期</t>
        </is>
      </c>
      <c r="G48" s="37" t="inlineStr">
        <is>
          <t>外延单元</t>
        </is>
      </c>
      <c r="H48" s="36" t="inlineStr">
        <is>
          <t>主题专项·声</t>
        </is>
      </c>
      <c r="I48" s="35" t="inlineStr">
        <is>
          <t>6月</t>
        </is>
      </c>
      <c r="J48" s="36" t="inlineStr">
        <is>
          <t>理紗·珣</t>
        </is>
      </c>
      <c r="K48" s="36" t="inlineStr">
        <is>
          <t>光·慧美·志郎·珣·理紗（+瑆 笔记）</t>
        </is>
      </c>
      <c r="L48" s="36" t="inlineStr">
        <is>
          <t>声学</t>
        </is>
      </c>
      <c r="M48" s="36" t="inlineStr">
        <is>
          <t>人体</t>
        </is>
      </c>
      <c r="N48" s="36" t="inlineStr">
        <is>
          <t>物理</t>
        </is>
      </c>
      <c r="O48" s="38" t="inlineStr">
        <is>
          <t>听觉频率 + 空腔共鸣 + 超声波</t>
        </is>
      </c>
      <c r="P48" s="37" t="inlineStr">
        <is>
          <t>感知+微观</t>
        </is>
      </c>
      <c r="Q48" s="36" t="n"/>
      <c r="R48" s="35">
        <f>IF(COUNTIF($M$2:$M$101,M43)&gt;1,"⚠ 重复","唯一")</f>
        <v/>
      </c>
    </row>
    <row r="49" ht="29.85" customHeight="1" s="26">
      <c r="A49" t="inlineStr">
        <is>
          <t>A053</t>
        </is>
      </c>
      <c r="B49" t="inlineStr">
        <is>
          <t>⬜</t>
        </is>
      </c>
      <c r="C49" s="35" t="n">
        <v>43</v>
      </c>
      <c r="D49" s="36" t="inlineStr">
        <is>
          <t>鏡の中の文字</t>
        </is>
      </c>
      <c r="E49" s="36" t="inlineStr">
        <is>
          <t>镜中的文字</t>
        </is>
      </c>
      <c r="F49" s="35" t="inlineStr">
        <is>
          <t>II 感知期</t>
        </is>
      </c>
      <c r="G49" s="37" t="inlineStr">
        <is>
          <t>外延单元</t>
        </is>
      </c>
      <c r="H49" s="36" t="inlineStr">
        <is>
          <t>主题专项·光</t>
        </is>
      </c>
      <c r="I49" s="35" t="inlineStr">
        <is>
          <t>7月</t>
        </is>
      </c>
      <c r="J49" s="36" t="inlineStr">
        <is>
          <t>理紗·慧美</t>
        </is>
      </c>
      <c r="K49" s="36" t="inlineStr">
        <is>
          <t>光·慧美·志郎·珣·理紗（+瑆 笔记）</t>
        </is>
      </c>
      <c r="L49" s="36" t="inlineStr">
        <is>
          <t>光学</t>
        </is>
      </c>
      <c r="M49" s="36" t="inlineStr">
        <is>
          <t>几何</t>
        </is>
      </c>
      <c r="N49" s="36" t="inlineStr">
        <is>
          <t>心理</t>
        </is>
      </c>
      <c r="O49" s="38" t="inlineStr">
        <is>
          <t>左右镜像 + 空间认知 + 镜面反射</t>
        </is>
      </c>
      <c r="P49" s="37" t="inlineStr">
        <is>
          <t>感知</t>
        </is>
      </c>
      <c r="Q49" s="36" t="n"/>
      <c r="R49" s="35">
        <f>IF(COUNTIF($M$2:$M$101,M44)&gt;1,"⚠ 重复","唯一")</f>
        <v/>
      </c>
    </row>
    <row r="50" ht="29.85" customHeight="1" s="26">
      <c r="A50" t="inlineStr">
        <is>
          <t>A054</t>
        </is>
      </c>
      <c r="B50" t="inlineStr">
        <is>
          <t>⬜</t>
        </is>
      </c>
      <c r="C50" s="35" t="n">
        <v>44</v>
      </c>
      <c r="D50" s="36" t="inlineStr">
        <is>
          <t>にじむ夕焼け</t>
        </is>
      </c>
      <c r="E50" s="36" t="inlineStr">
        <is>
          <t>晕开的晚霞</t>
        </is>
      </c>
      <c r="F50" s="35" t="inlineStr">
        <is>
          <t>II 感知期</t>
        </is>
      </c>
      <c r="G50" s="37" t="inlineStr">
        <is>
          <t>外延单元</t>
        </is>
      </c>
      <c r="H50" s="36" t="inlineStr">
        <is>
          <t>主题专项·气象光</t>
        </is>
      </c>
      <c r="I50" s="35" t="inlineStr">
        <is>
          <t>9月</t>
        </is>
      </c>
      <c r="J50" s="36" t="inlineStr">
        <is>
          <t>理紗·慧美</t>
        </is>
      </c>
      <c r="K50" s="36" t="inlineStr">
        <is>
          <t>光·慧美·志郎·珣·理紗（+瑆 笔记）</t>
        </is>
      </c>
      <c r="L50" s="36" t="inlineStr">
        <is>
          <t>气象</t>
        </is>
      </c>
      <c r="M50" s="36" t="inlineStr">
        <is>
          <t>光学</t>
        </is>
      </c>
      <c r="N50" s="36" t="inlineStr">
        <is>
          <t>物理</t>
        </is>
      </c>
      <c r="O50" s="38" t="inlineStr">
        <is>
          <t>大气色散 + 瑞利散射 + 雾汽散射</t>
        </is>
      </c>
      <c r="P50" s="37" t="inlineStr">
        <is>
          <t>感知+实验</t>
        </is>
      </c>
      <c r="Q50" s="36" t="n"/>
      <c r="R50" s="35">
        <f>IF(COUNTIF($M$2:$M$101,M45)&gt;1,"⚠ 重复","唯一")</f>
        <v/>
      </c>
    </row>
    <row r="51" ht="29.85" customHeight="1" s="26">
      <c r="A51" t="inlineStr">
        <is>
          <t>A055</t>
        </is>
      </c>
      <c r="B51" t="inlineStr">
        <is>
          <t>⬜</t>
        </is>
      </c>
      <c r="C51" s="35" t="n">
        <v>45</v>
      </c>
      <c r="D51" s="36" t="inlineStr">
        <is>
          <t>動かない秒針</t>
        </is>
      </c>
      <c r="E51" s="36" t="inlineStr">
        <is>
          <t>不动的秒针</t>
        </is>
      </c>
      <c r="F51" s="35" t="inlineStr">
        <is>
          <t>II 感知期</t>
        </is>
      </c>
      <c r="G51" s="37" t="inlineStr">
        <is>
          <t>外延单元</t>
        </is>
      </c>
      <c r="H51" s="36" t="inlineStr">
        <is>
          <t>主题专项·感知光</t>
        </is>
      </c>
      <c r="I51" s="35" t="inlineStr">
        <is>
          <t>10月</t>
        </is>
      </c>
      <c r="J51" s="36" t="inlineStr">
        <is>
          <t>理紗·珣</t>
        </is>
      </c>
      <c r="K51" s="36" t="inlineStr">
        <is>
          <t>光·慧美·志郎·珣·理紗（+瑆 笔记）</t>
        </is>
      </c>
      <c r="L51" s="36" t="inlineStr">
        <is>
          <t>光学</t>
        </is>
      </c>
      <c r="M51" s="36" t="inlineStr">
        <is>
          <t>感知</t>
        </is>
      </c>
      <c r="N51" s="36" t="inlineStr">
        <is>
          <t>物理</t>
        </is>
      </c>
      <c r="O51" s="38" t="inlineStr">
        <is>
          <t>周期同步 + 视觉暂留 + 频闪错觉</t>
        </is>
      </c>
      <c r="P51" s="37" t="inlineStr">
        <is>
          <t>感知+微观</t>
        </is>
      </c>
      <c r="Q51" s="36" t="n"/>
      <c r="R51" s="35">
        <f>IF(COUNTIF($M$2:$M$101,M46)&gt;1,"⚠ 重复","唯一")</f>
        <v/>
      </c>
    </row>
    <row r="52" ht="29.85" customHeight="1" s="26">
      <c r="A52" t="inlineStr">
        <is>
          <t>A056</t>
        </is>
      </c>
      <c r="B52" t="inlineStr">
        <is>
          <t>⬜</t>
        </is>
      </c>
      <c r="C52" s="35" t="n">
        <v>46</v>
      </c>
      <c r="D52" s="36" t="inlineStr">
        <is>
          <t>影が二つ</t>
        </is>
      </c>
      <c r="E52" s="36" t="inlineStr">
        <is>
          <t>两个影子</t>
        </is>
      </c>
      <c r="F52" s="35" t="inlineStr">
        <is>
          <t>II 感知期</t>
        </is>
      </c>
      <c r="G52" s="37" t="inlineStr">
        <is>
          <t>外延单元</t>
        </is>
      </c>
      <c r="H52" s="36" t="inlineStr">
        <is>
          <t>主题专项·光</t>
        </is>
      </c>
      <c r="I52" s="35" t="inlineStr">
        <is>
          <t>11月</t>
        </is>
      </c>
      <c r="J52" s="36" t="inlineStr">
        <is>
          <t>理紗·珣</t>
        </is>
      </c>
      <c r="K52" s="36" t="inlineStr">
        <is>
          <t>光·慧美·志郎·珣·理紗（+瑆 笔记）</t>
        </is>
      </c>
      <c r="L52" s="36" t="inlineStr">
        <is>
          <t>光学</t>
        </is>
      </c>
      <c r="M52" s="36" t="inlineStr">
        <is>
          <t>物理</t>
        </is>
      </c>
      <c r="N52" s="36" t="inlineStr">
        <is>
          <t>感知</t>
        </is>
      </c>
      <c r="O52" s="38" t="inlineStr">
        <is>
          <t>投影叠加 + 本影半影 + 点光源阵列</t>
        </is>
      </c>
      <c r="P52" s="37" t="inlineStr">
        <is>
          <t>感知</t>
        </is>
      </c>
      <c r="Q52" s="36" t="n"/>
      <c r="R52" s="35">
        <f>IF(COUNTIF($M$2:$M$101,M47)&gt;1,"⚠ 重复","唯一")</f>
        <v/>
      </c>
    </row>
    <row r="53" ht="29.85" customHeight="1" s="26">
      <c r="A53" t="inlineStr">
        <is>
          <t>A057</t>
        </is>
      </c>
      <c r="B53" t="inlineStr">
        <is>
          <t>⬜</t>
        </is>
      </c>
      <c r="C53" s="35" t="n">
        <v>47</v>
      </c>
      <c r="D53" s="36" t="inlineStr">
        <is>
          <t>透明な膜の色</t>
        </is>
      </c>
      <c r="E53" s="36" t="inlineStr">
        <is>
          <t>透明膜的颜色</t>
        </is>
      </c>
      <c r="F53" s="35" t="inlineStr">
        <is>
          <t>II 感知期</t>
        </is>
      </c>
      <c r="G53" s="37" t="inlineStr">
        <is>
          <t>外延单元</t>
        </is>
      </c>
      <c r="H53" s="36" t="inlineStr">
        <is>
          <t>主题专项·光材料</t>
        </is>
      </c>
      <c r="I53" s="35" t="inlineStr">
        <is>
          <t>12月</t>
        </is>
      </c>
      <c r="J53" s="36" t="inlineStr">
        <is>
          <t>理紗·慧美</t>
        </is>
      </c>
      <c r="K53" s="36" t="inlineStr">
        <is>
          <t>光·慧美·志郎·珣·理紗（+瑆 笔记）</t>
        </is>
      </c>
      <c r="L53" s="36" t="inlineStr">
        <is>
          <t>光学</t>
        </is>
      </c>
      <c r="M53" s="36" t="inlineStr">
        <is>
          <t>材料</t>
        </is>
      </c>
      <c r="N53" s="36" t="inlineStr">
        <is>
          <t>物理</t>
        </is>
      </c>
      <c r="O53" s="38" t="inlineStr">
        <is>
          <t>折射率 + 膜厚 + 薄膜干涉</t>
        </is>
      </c>
      <c r="P53" s="37" t="inlineStr">
        <is>
          <t>感知+实验</t>
        </is>
      </c>
      <c r="Q53" s="36" t="n"/>
      <c r="R53" s="35">
        <f>IF(COUNTIF($M$2:$M$101,M48)&gt;1,"⚠ 重复","唯一")</f>
        <v/>
      </c>
    </row>
    <row r="54" ht="29.85" customHeight="1" s="26">
      <c r="A54" t="inlineStr">
        <is>
          <t>A058</t>
        </is>
      </c>
      <c r="B54" t="inlineStr">
        <is>
          <t>⬜</t>
        </is>
      </c>
      <c r="C54" s="35" t="n">
        <v>48</v>
      </c>
      <c r="D54" s="36" t="inlineStr">
        <is>
          <t>凍る池の音</t>
        </is>
      </c>
      <c r="E54" s="36" t="inlineStr">
        <is>
          <t>结冰池塘的声音</t>
        </is>
      </c>
      <c r="F54" s="35" t="inlineStr">
        <is>
          <t>II 感知期</t>
        </is>
      </c>
      <c r="G54" s="37" t="inlineStr">
        <is>
          <t>外延单元</t>
        </is>
      </c>
      <c r="H54" s="36" t="inlineStr">
        <is>
          <t>季节特别·冬</t>
        </is>
      </c>
      <c r="I54" s="35" t="inlineStr">
        <is>
          <t>1月</t>
        </is>
      </c>
      <c r="J54" s="36" t="inlineStr">
        <is>
          <t>理紗·珣</t>
        </is>
      </c>
      <c r="K54" s="36" t="inlineStr">
        <is>
          <t>光·慧美·志郎·珣·理紗（+瑆 笔记）</t>
        </is>
      </c>
      <c r="L54" s="36" t="inlineStr">
        <is>
          <t>声学</t>
        </is>
      </c>
      <c r="M54" s="36" t="inlineStr">
        <is>
          <t>物态</t>
        </is>
      </c>
      <c r="N54" s="36" t="inlineStr">
        <is>
          <t>物理</t>
        </is>
      </c>
      <c r="O54" s="38" t="inlineStr">
        <is>
          <t>低温传声 + 冰层振动 + 热胀冷缩</t>
        </is>
      </c>
      <c r="P54" s="37" t="inlineStr">
        <is>
          <t>感知+微观</t>
        </is>
      </c>
      <c r="Q54" s="36" t="n"/>
      <c r="R54" s="35">
        <f>IF(COUNTIF($M$2:$M$101,M49)&gt;1,"⚠ 重复","唯一")</f>
        <v/>
      </c>
    </row>
    <row r="55" ht="29.85" customHeight="1" s="26">
      <c r="A55" t="inlineStr">
        <is>
          <t>B011</t>
        </is>
      </c>
      <c r="B55" t="inlineStr">
        <is>
          <t>⬜</t>
        </is>
      </c>
      <c r="C55" s="35" t="n">
        <v>49</v>
      </c>
      <c r="D55" s="36" t="inlineStr">
        <is>
          <t>曲がって見える線路</t>
        </is>
      </c>
      <c r="E55" s="36" t="inlineStr">
        <is>
          <t>看起来弯的铁轨</t>
        </is>
      </c>
      <c r="F55" s="35" t="inlineStr">
        <is>
          <t>II 感知期</t>
        </is>
      </c>
      <c r="G55" s="37" t="inlineStr">
        <is>
          <t>外延单元</t>
        </is>
      </c>
      <c r="H55" s="36" t="inlineStr">
        <is>
          <t>城市特典·感知</t>
        </is>
      </c>
      <c r="I55" s="35" t="inlineStr">
        <is>
          <t>2月</t>
        </is>
      </c>
      <c r="J55" s="36" t="inlineStr">
        <is>
          <t>理紗·慧美</t>
        </is>
      </c>
      <c r="K55" s="36" t="inlineStr">
        <is>
          <t>光·慧美·志郎·珣·理紗（+瑆 笔记）</t>
        </is>
      </c>
      <c r="L55" s="36" t="inlineStr">
        <is>
          <t>光学</t>
        </is>
      </c>
      <c r="M55" s="36" t="inlineStr">
        <is>
          <t>心理</t>
        </is>
      </c>
      <c r="N55" s="36" t="inlineStr">
        <is>
          <t>物理</t>
        </is>
      </c>
      <c r="O55" s="38" t="inlineStr">
        <is>
          <t>热气折射 + 距离错视 + 透视收敛</t>
        </is>
      </c>
      <c r="P55" s="37" t="inlineStr">
        <is>
          <t>感知</t>
        </is>
      </c>
      <c r="Q55" s="36" t="n"/>
      <c r="R55" s="35">
        <f>IF(COUNTIF($M$2:$M$101,M50)&gt;1,"⚠ 重复","唯一")</f>
        <v/>
      </c>
    </row>
    <row r="56" ht="29.85" customHeight="1" s="26">
      <c r="A56" t="inlineStr">
        <is>
          <t>A059</t>
        </is>
      </c>
      <c r="B56" t="inlineStr">
        <is>
          <t>⬜ · ★收束1</t>
        </is>
      </c>
      <c r="C56" s="30" t="n">
        <v>50</v>
      </c>
      <c r="D56" s="31" t="inlineStr">
        <is>
          <t>葛西さんの古写真</t>
        </is>
      </c>
      <c r="E56" s="31" t="inlineStr">
        <is>
          <t>葛西爷爷的旧照片</t>
        </is>
      </c>
      <c r="F56" s="30" t="inlineStr">
        <is>
          <t>II 感知期</t>
        </is>
      </c>
      <c r="G56" s="32" t="inlineStr">
        <is>
          <t>范式深化</t>
        </is>
      </c>
      <c r="H56" s="31" t="inlineStr">
        <is>
          <t>社区·长线</t>
        </is>
      </c>
      <c r="I56" s="30" t="inlineStr">
        <is>
          <t>3月</t>
        </is>
      </c>
      <c r="J56" s="31" t="inlineStr">
        <is>
          <t>葛西·瑆·理紗</t>
        </is>
      </c>
      <c r="K56" s="31" t="inlineStr">
        <is>
          <t>光·慧美·志郎·珣·理紗·葛西（+瑆 主笔）</t>
        </is>
      </c>
      <c r="L56" s="31" t="inlineStr">
        <is>
          <t>历史</t>
        </is>
      </c>
      <c r="M56" s="31" t="inlineStr">
        <is>
          <t>光学</t>
        </is>
      </c>
      <c r="N56" s="31" t="inlineStr">
        <is>
          <t>化学</t>
        </is>
      </c>
      <c r="O56" s="33" t="inlineStr">
        <is>
          <t>城市变迁 + 照片褪色 + 银盐化学</t>
        </is>
      </c>
      <c r="P56" s="32" t="inlineStr">
        <is>
          <t>溯源+人际+感知</t>
        </is>
      </c>
      <c r="Q56" s="31" t="inlineStr">
        <is>
          <t>长线收束点①</t>
        </is>
      </c>
      <c r="R56" s="30">
        <f>IF(COUNTIF($M$2:$M$101,M51)&gt;1,"⚠ 重复","唯一")</f>
        <v/>
      </c>
    </row>
    <row r="57" ht="29.85" customHeight="1" s="26">
      <c r="A57" t="inlineStr">
        <is>
          <t>B012</t>
        </is>
      </c>
      <c r="B57" t="inlineStr">
        <is>
          <t>⬜</t>
        </is>
      </c>
      <c r="C57" s="39" t="n">
        <v>51</v>
      </c>
      <c r="D57" s="40" t="inlineStr">
        <is>
          <t>窯変の招き猫</t>
        </is>
      </c>
      <c r="E57" s="40" t="inlineStr">
        <is>
          <t>常滑招财猫的窑变色</t>
        </is>
      </c>
      <c r="F57" s="39" t="inlineStr">
        <is>
          <t>II 感知期</t>
        </is>
      </c>
      <c r="G57" s="41" t="inlineStr">
        <is>
          <t>外延单元</t>
        </is>
      </c>
      <c r="H57" s="40" t="inlineStr">
        <is>
          <t>城市特典·常滑</t>
        </is>
      </c>
      <c r="I57" s="39" t="inlineStr">
        <is>
          <t>4月</t>
        </is>
      </c>
      <c r="J57" s="40" t="inlineStr">
        <is>
          <t>慧美·珣</t>
        </is>
      </c>
      <c r="K57" s="40" t="inlineStr">
        <is>
          <t>光·慧美·志郎·珣·理紗（+瑆 笔记）</t>
        </is>
      </c>
      <c r="L57" s="40" t="inlineStr">
        <is>
          <t>化学</t>
        </is>
      </c>
      <c r="M57" s="40" t="inlineStr">
        <is>
          <t>色彩</t>
        </is>
      </c>
      <c r="N57" s="40" t="inlineStr">
        <is>
          <t>热学</t>
        </is>
      </c>
      <c r="O57" s="42" t="inlineStr">
        <is>
          <t>窑温梯度 + 还原焰氧化焰 + 釉料金属呈色</t>
        </is>
      </c>
      <c r="P57" s="41" t="inlineStr">
        <is>
          <t>实验+微观</t>
        </is>
      </c>
      <c r="Q57" s="40" t="n"/>
      <c r="R57" s="39">
        <f>IF(COUNTIF($M$2:$M$101,M52)&gt;1,"⚠ 重复","唯一")</f>
        <v/>
      </c>
    </row>
    <row r="58" ht="29.85" customHeight="1" s="26">
      <c r="A58" t="inlineStr">
        <is>
          <t>B013</t>
        </is>
      </c>
      <c r="B58" t="inlineStr">
        <is>
          <t>⬜</t>
        </is>
      </c>
      <c r="C58" s="39" t="n">
        <v>52</v>
      </c>
      <c r="D58" s="40" t="inlineStr">
        <is>
          <t>瀬戸物のひび</t>
        </is>
      </c>
      <c r="E58" s="40" t="inlineStr">
        <is>
          <t>濑户陶器的裂纹</t>
        </is>
      </c>
      <c r="F58" s="39" t="inlineStr">
        <is>
          <t>II 感知期</t>
        </is>
      </c>
      <c r="G58" s="41" t="inlineStr">
        <is>
          <t>外延单元</t>
        </is>
      </c>
      <c r="H58" s="40" t="inlineStr">
        <is>
          <t>城市特典·瀬戸</t>
        </is>
      </c>
      <c r="I58" s="39" t="inlineStr">
        <is>
          <t>5月</t>
        </is>
      </c>
      <c r="J58" s="40" t="inlineStr">
        <is>
          <t>志郎·珣</t>
        </is>
      </c>
      <c r="K58" s="40" t="inlineStr">
        <is>
          <t>光·慧美·志郎·珣·理紗（+瑆 笔记）</t>
        </is>
      </c>
      <c r="L58" s="40" t="inlineStr">
        <is>
          <t>材料</t>
        </is>
      </c>
      <c r="M58" s="40" t="inlineStr">
        <is>
          <t>热学</t>
        </is>
      </c>
      <c r="N58" s="40" t="inlineStr">
        <is>
          <t>声学</t>
        </is>
      </c>
      <c r="O58" s="42" t="inlineStr">
        <is>
          <t>急冷应力 + 敲击声判别 + 釉面热膨胀差</t>
        </is>
      </c>
      <c r="P58" s="41" t="inlineStr">
        <is>
          <t>结构还原</t>
        </is>
      </c>
      <c r="Q58" s="40" t="n"/>
      <c r="R58" s="39">
        <f>IF(COUNTIF($M$2:$M$101,M53)&gt;1,"⚠ 重复","唯一")</f>
        <v/>
      </c>
    </row>
    <row r="59" ht="29.85" customHeight="1" s="26">
      <c r="A59" t="inlineStr">
        <is>
          <t>A060</t>
        </is>
      </c>
      <c r="B59" t="inlineStr">
        <is>
          <t>⬜ · 中谷</t>
        </is>
      </c>
      <c r="C59" s="30" t="n">
        <v>53</v>
      </c>
      <c r="D59" s="31" t="inlineStr">
        <is>
          <t>中谷くんの一枚</t>
        </is>
      </c>
      <c r="E59" s="31" t="inlineStr">
        <is>
          <t>中谷的一张照片</t>
        </is>
      </c>
      <c r="F59" s="30" t="inlineStr">
        <is>
          <t>II 感知期</t>
        </is>
      </c>
      <c r="G59" s="32" t="inlineStr">
        <is>
          <t>外延单元</t>
        </is>
      </c>
      <c r="H59" s="31" t="inlineStr">
        <is>
          <t>主题专项·摄影</t>
        </is>
      </c>
      <c r="I59" s="30" t="inlineStr">
        <is>
          <t>6月</t>
        </is>
      </c>
      <c r="J59" s="31" t="inlineStr">
        <is>
          <t>中谷·瑆</t>
        </is>
      </c>
      <c r="K59" s="31" t="inlineStr">
        <is>
          <t>光·慧美·志郎·珣·理紗·中谷（+瑆 笔记）</t>
        </is>
      </c>
      <c r="L59" s="31" t="inlineStr">
        <is>
          <t>光学</t>
        </is>
      </c>
      <c r="M59" s="31" t="inlineStr">
        <is>
          <t>力学</t>
        </is>
      </c>
      <c r="N59" s="31" t="inlineStr">
        <is>
          <t>逻辑</t>
        </is>
      </c>
      <c r="O59" s="33" t="inlineStr">
        <is>
          <t>时序证据 + 景深光圈 + 运动模糊</t>
        </is>
      </c>
      <c r="P59" s="32" t="inlineStr">
        <is>
          <t>人际+实验</t>
        </is>
      </c>
      <c r="Q59" s="31" t="inlineStr">
        <is>
          <t>中谷入队</t>
        </is>
      </c>
      <c r="R59" s="30">
        <f>IF(COUNTIF($M$2:$M$101,M54)&gt;1,"⚠ 重复","唯一")</f>
        <v/>
      </c>
    </row>
    <row r="60" ht="29.85" customHeight="1" s="26">
      <c r="A60" t="inlineStr">
        <is>
          <t>B014</t>
        </is>
      </c>
      <c r="B60" t="inlineStr">
        <is>
          <t>⬜</t>
        </is>
      </c>
      <c r="C60" s="39" t="n">
        <v>54</v>
      </c>
      <c r="D60" s="40" t="inlineStr">
        <is>
          <t>神社の鈴</t>
        </is>
      </c>
      <c r="E60" s="40" t="inlineStr">
        <is>
          <t>神社铃铛的声音</t>
        </is>
      </c>
      <c r="F60" s="39" t="inlineStr">
        <is>
          <t>II 感知期</t>
        </is>
      </c>
      <c r="G60" s="41" t="inlineStr">
        <is>
          <t>外延单元</t>
        </is>
      </c>
      <c r="H60" s="40" t="inlineStr">
        <is>
          <t>城市特典·神社</t>
        </is>
      </c>
      <c r="I60" s="39" t="inlineStr">
        <is>
          <t>7月</t>
        </is>
      </c>
      <c r="J60" s="40" t="inlineStr">
        <is>
          <t>珣</t>
        </is>
      </c>
      <c r="K60" s="40" t="inlineStr">
        <is>
          <t>光·慧美·志郎·珣·理紗·中谷（+瑆 笔记）</t>
        </is>
      </c>
      <c r="L60" s="40" t="inlineStr">
        <is>
          <t>声学</t>
        </is>
      </c>
      <c r="M60" s="40" t="inlineStr">
        <is>
          <t>物理</t>
        </is>
      </c>
      <c r="N60" s="40" t="inlineStr">
        <is>
          <t>流体</t>
        </is>
      </c>
      <c r="O60" s="42" t="inlineStr">
        <is>
          <t>拍频 + 金属铃共鸣 + 风激振动</t>
        </is>
      </c>
      <c r="P60" s="41" t="inlineStr">
        <is>
          <t>微观</t>
        </is>
      </c>
      <c r="Q60" s="40" t="n"/>
      <c r="R60" s="39">
        <f>IF(COUNTIF($M$2:$M$101,M55)&gt;1,"⚠ 重复","唯一")</f>
        <v/>
      </c>
    </row>
    <row r="61" ht="29.85" customHeight="1" s="26">
      <c r="A61" t="inlineStr">
        <is>
          <t>A061</t>
        </is>
      </c>
      <c r="B61" t="inlineStr">
        <is>
          <t>⬜</t>
        </is>
      </c>
      <c r="C61" s="39" t="n">
        <v>55</v>
      </c>
      <c r="D61" s="40" t="inlineStr">
        <is>
          <t>古井戸の水位</t>
        </is>
      </c>
      <c r="E61" s="40" t="inlineStr">
        <is>
          <t>古井的水位</t>
        </is>
      </c>
      <c r="F61" s="39" t="inlineStr">
        <is>
          <t>II 感知期</t>
        </is>
      </c>
      <c r="G61" s="41" t="inlineStr">
        <is>
          <t>外延单元</t>
        </is>
      </c>
      <c r="H61" s="40" t="inlineStr">
        <is>
          <t>社区·历史</t>
        </is>
      </c>
      <c r="I61" s="39" t="inlineStr">
        <is>
          <t>8月</t>
        </is>
      </c>
      <c r="J61" s="40" t="inlineStr">
        <is>
          <t>志郎·葛西</t>
        </is>
      </c>
      <c r="K61" s="40" t="inlineStr">
        <is>
          <t>光·慧美·志郎·珣·理紗·中谷·葛西（+瑆 笔记）</t>
        </is>
      </c>
      <c r="L61" s="40" t="inlineStr">
        <is>
          <t>地质</t>
        </is>
      </c>
      <c r="M61" s="40" t="inlineStr">
        <is>
          <t>流体</t>
        </is>
      </c>
      <c r="N61" s="40" t="inlineStr">
        <is>
          <t>气象</t>
        </is>
      </c>
      <c r="O61" s="42" t="inlineStr">
        <is>
          <t>地下水位变化 + 连通器原理 + 降水滞后</t>
        </is>
      </c>
      <c r="P61" s="41" t="inlineStr">
        <is>
          <t>结构+溯源</t>
        </is>
      </c>
      <c r="Q61" s="40" t="n"/>
      <c r="R61" s="39">
        <f>IF(COUNTIF($M$2:$M$101,M56)&gt;1,"⚠ 重复","唯一")</f>
        <v/>
      </c>
    </row>
    <row r="62" ht="29.85" customHeight="1" s="26">
      <c r="A62" t="inlineStr">
        <is>
          <t>A062</t>
        </is>
      </c>
      <c r="B62" t="inlineStr">
        <is>
          <t>⬜</t>
        </is>
      </c>
      <c r="C62" s="39" t="n">
        <v>56</v>
      </c>
      <c r="D62" s="40" t="inlineStr">
        <is>
          <t>切手の裏の文字</t>
        </is>
      </c>
      <c r="E62" s="40" t="inlineStr">
        <is>
          <t>邮票背面的字</t>
        </is>
      </c>
      <c r="F62" s="39" t="inlineStr">
        <is>
          <t>II 感知期</t>
        </is>
      </c>
      <c r="G62" s="41" t="inlineStr">
        <is>
          <t>外延单元</t>
        </is>
      </c>
      <c r="H62" s="40" t="inlineStr">
        <is>
          <t>主题专项·显色</t>
        </is>
      </c>
      <c r="I62" s="39" t="inlineStr">
        <is>
          <t>9月</t>
        </is>
      </c>
      <c r="J62" s="40" t="inlineStr">
        <is>
          <t>慧美·中谷</t>
        </is>
      </c>
      <c r="K62" s="40" t="inlineStr">
        <is>
          <t>光·慧美·志郎·珣·理紗·中谷（+瑆 笔记）</t>
        </is>
      </c>
      <c r="L62" s="40" t="inlineStr">
        <is>
          <t>化学</t>
        </is>
      </c>
      <c r="M62" s="40" t="inlineStr">
        <is>
          <t>光学</t>
        </is>
      </c>
      <c r="N62" s="40" t="inlineStr">
        <is>
          <t>材料</t>
        </is>
      </c>
      <c r="O62" s="42" t="inlineStr">
        <is>
          <t>紫外荧光 + 胶层吸湿 + 隐显墨水</t>
        </is>
      </c>
      <c r="P62" s="41" t="inlineStr">
        <is>
          <t>实验</t>
        </is>
      </c>
      <c r="Q62" s="40" t="n"/>
      <c r="R62" s="39">
        <f>IF(COUNTIF($M$2:$M$101,M57)&gt;1,"⚠ 重复","唯一")</f>
        <v/>
      </c>
    </row>
    <row r="63" ht="29.85" customHeight="1" s="26">
      <c r="A63" t="inlineStr">
        <is>
          <t>B015</t>
        </is>
      </c>
      <c r="B63" t="inlineStr">
        <is>
          <t>⬜</t>
        </is>
      </c>
      <c r="C63" s="39" t="n">
        <v>57</v>
      </c>
      <c r="D63" s="40" t="inlineStr">
        <is>
          <t>鏡池の逆さ富士</t>
        </is>
      </c>
      <c r="E63" s="40" t="inlineStr">
        <is>
          <t>镜池的倒影</t>
        </is>
      </c>
      <c r="F63" s="39" t="inlineStr">
        <is>
          <t>II 感知期</t>
        </is>
      </c>
      <c r="G63" s="41" t="inlineStr">
        <is>
          <t>外延单元</t>
        </is>
      </c>
      <c r="H63" s="40" t="inlineStr">
        <is>
          <t>城市特典·水镜</t>
        </is>
      </c>
      <c r="I63" s="39" t="inlineStr">
        <is>
          <t>10月</t>
        </is>
      </c>
      <c r="J63" s="40" t="inlineStr">
        <is>
          <t>理紗</t>
        </is>
      </c>
      <c r="K63" s="40" t="inlineStr">
        <is>
          <t>光·慧美·志郎·珣·理紗·中谷（+瑆 笔记）</t>
        </is>
      </c>
      <c r="L63" s="40" t="inlineStr">
        <is>
          <t>光学</t>
        </is>
      </c>
      <c r="M63" s="40" t="inlineStr">
        <is>
          <t>流体</t>
        </is>
      </c>
      <c r="N63" s="40" t="inlineStr">
        <is>
          <t>几何</t>
        </is>
      </c>
      <c r="O63" s="42" t="inlineStr">
        <is>
          <t>对称成像 + 水面镜反射 + 风浪扰动</t>
        </is>
      </c>
      <c r="P63" s="41" t="inlineStr">
        <is>
          <t>感知</t>
        </is>
      </c>
      <c r="Q63" s="40" t="n"/>
      <c r="R63" s="39">
        <f>IF(COUNTIF($M$2:$M$101,M58)&gt;1,"⚠ 重复","唯一")</f>
        <v/>
      </c>
    </row>
    <row r="64" ht="29.85" customHeight="1" s="26">
      <c r="A64" t="inlineStr">
        <is>
          <t>A063</t>
        </is>
      </c>
      <c r="B64" t="inlineStr">
        <is>
          <t>⬜</t>
        </is>
      </c>
      <c r="C64" s="39" t="n">
        <v>58</v>
      </c>
      <c r="D64" s="40" t="inlineStr">
        <is>
          <t>回り灯籠</t>
        </is>
      </c>
      <c r="E64" s="40" t="inlineStr">
        <is>
          <t>走马灯的影</t>
        </is>
      </c>
      <c r="F64" s="39" t="inlineStr">
        <is>
          <t>II 感知期</t>
        </is>
      </c>
      <c r="G64" s="41" t="inlineStr">
        <is>
          <t>外延单元</t>
        </is>
      </c>
      <c r="H64" s="40" t="inlineStr">
        <is>
          <t>季节特别·主题</t>
        </is>
      </c>
      <c r="I64" s="39" t="inlineStr">
        <is>
          <t>11月</t>
        </is>
      </c>
      <c r="J64" s="40" t="inlineStr">
        <is>
          <t>珣·理紗</t>
        </is>
      </c>
      <c r="K64" s="40" t="inlineStr">
        <is>
          <t>光·慧美·志郎·珣·理紗·中谷（+瑆 笔记）</t>
        </is>
      </c>
      <c r="L64" s="40" t="inlineStr">
        <is>
          <t>热学</t>
        </is>
      </c>
      <c r="M64" s="40" t="inlineStr">
        <is>
          <t>光学</t>
        </is>
      </c>
      <c r="N64" s="40" t="inlineStr">
        <is>
          <t>感知</t>
        </is>
      </c>
      <c r="O64" s="42" t="inlineStr">
        <is>
          <t>旋转投影 + 暂留残像 + 热气流驱动</t>
        </is>
      </c>
      <c r="P64" s="41" t="inlineStr">
        <is>
          <t>微观+感知</t>
        </is>
      </c>
      <c r="Q64" s="40" t="n"/>
      <c r="R64" s="39">
        <f>IF(COUNTIF($M$2:$M$101,M59)&gt;1,"⚠ 重复","唯一")</f>
        <v/>
      </c>
    </row>
    <row r="65" ht="29.85" customHeight="1" s="26">
      <c r="A65" t="inlineStr">
        <is>
          <t>B016</t>
        </is>
      </c>
      <c r="B65" t="inlineStr">
        <is>
          <t>⬜</t>
        </is>
      </c>
      <c r="C65" s="39" t="n">
        <v>59</v>
      </c>
      <c r="D65" s="40" t="inlineStr">
        <is>
          <t>合掌造りの屋根</t>
        </is>
      </c>
      <c r="E65" s="40" t="inlineStr">
        <is>
          <t>飞驒合掌屋顶</t>
        </is>
      </c>
      <c r="F65" s="39" t="inlineStr">
        <is>
          <t>II 感知期</t>
        </is>
      </c>
      <c r="G65" s="41" t="inlineStr">
        <is>
          <t>外延单元</t>
        </is>
      </c>
      <c r="H65" s="40" t="inlineStr">
        <is>
          <t>城市特典·飛騨</t>
        </is>
      </c>
      <c r="I65" s="39" t="inlineStr">
        <is>
          <t>12月</t>
        </is>
      </c>
      <c r="J65" s="40" t="inlineStr">
        <is>
          <t>志郎·珣</t>
        </is>
      </c>
      <c r="K65" s="40" t="inlineStr">
        <is>
          <t>光·慧美·志郎·珣·理紗·中谷（+瑆 笔记）</t>
        </is>
      </c>
      <c r="L65" s="40" t="inlineStr">
        <is>
          <t>建筑</t>
        </is>
      </c>
      <c r="M65" s="40" t="inlineStr">
        <is>
          <t>力学</t>
        </is>
      </c>
      <c r="N65" s="40" t="inlineStr">
        <is>
          <t>生物</t>
        </is>
      </c>
      <c r="O65" s="42" t="inlineStr">
        <is>
          <t>烟熏防虫 + 茅葺隔热 + 陡坡排雪</t>
        </is>
      </c>
      <c r="P65" s="41" t="inlineStr">
        <is>
          <t>结构还原</t>
        </is>
      </c>
      <c r="Q65" s="40" t="n"/>
      <c r="R65" s="39">
        <f>IF(COUNTIF($M$2:$M$101,M60)&gt;1,"⚠ 重复","唯一")</f>
        <v/>
      </c>
    </row>
    <row r="66" ht="29.85" customHeight="1" s="26">
      <c r="A66" t="inlineStr">
        <is>
          <t>B017</t>
        </is>
      </c>
      <c r="B66" t="inlineStr">
        <is>
          <t>⬜</t>
        </is>
      </c>
      <c r="C66" s="39" t="n">
        <v>60</v>
      </c>
      <c r="D66" s="40" t="inlineStr">
        <is>
          <t>養老の滝の虹</t>
        </is>
      </c>
      <c r="E66" s="40" t="inlineStr">
        <is>
          <t>养老瀑布的彩虹</t>
        </is>
      </c>
      <c r="F66" s="39" t="inlineStr">
        <is>
          <t>II 感知期</t>
        </is>
      </c>
      <c r="G66" s="41" t="inlineStr">
        <is>
          <t>外延单元</t>
        </is>
      </c>
      <c r="H66" s="40" t="inlineStr">
        <is>
          <t>城市特典·養老</t>
        </is>
      </c>
      <c r="I66" s="39" t="inlineStr">
        <is>
          <t>1月</t>
        </is>
      </c>
      <c r="J66" s="40" t="inlineStr">
        <is>
          <t>理紗·珣</t>
        </is>
      </c>
      <c r="K66" s="40" t="inlineStr">
        <is>
          <t>光·慧美·志郎·珣·理紗·中谷（+瑆 笔记）</t>
        </is>
      </c>
      <c r="L66" s="40" t="inlineStr">
        <is>
          <t>光学</t>
        </is>
      </c>
      <c r="M66" s="40" t="inlineStr">
        <is>
          <t>气象</t>
        </is>
      </c>
      <c r="N66" s="40" t="inlineStr">
        <is>
          <t>天文</t>
        </is>
      </c>
      <c r="O66" s="42" t="inlineStr">
        <is>
          <t>偏振 + 太阳方位角 + 水雾色散</t>
        </is>
      </c>
      <c r="P66" s="41" t="inlineStr">
        <is>
          <t>感知+微观</t>
        </is>
      </c>
      <c r="Q66" s="40" t="n"/>
      <c r="R66" s="39">
        <f>IF(COUNTIF($M$2:$M$101,M61)&gt;1,"⚠ 重复","唯一")</f>
        <v/>
      </c>
    </row>
    <row r="67" ht="29.85" customHeight="1" s="26">
      <c r="A67" t="inlineStr">
        <is>
          <t>B018</t>
        </is>
      </c>
      <c r="B67" t="inlineStr">
        <is>
          <t>⬜</t>
        </is>
      </c>
      <c r="C67" s="39" t="n">
        <v>61</v>
      </c>
      <c r="D67" s="40" t="inlineStr">
        <is>
          <t>関ヶ原の風</t>
        </is>
      </c>
      <c r="E67" s="40" t="inlineStr">
        <is>
          <t>关原的风与雾</t>
        </is>
      </c>
      <c r="F67" s="39" t="inlineStr">
        <is>
          <t>II 感知期</t>
        </is>
      </c>
      <c r="G67" s="41" t="inlineStr">
        <is>
          <t>外延单元</t>
        </is>
      </c>
      <c r="H67" s="40" t="inlineStr">
        <is>
          <t>城市特典·历史</t>
        </is>
      </c>
      <c r="I67" s="39" t="inlineStr">
        <is>
          <t>2月</t>
        </is>
      </c>
      <c r="J67" s="40" t="inlineStr">
        <is>
          <t>葛西·珣</t>
        </is>
      </c>
      <c r="K67" s="40" t="inlineStr">
        <is>
          <t>光·慧美·志郎·珣·理紗·中谷·葛西（+瑆 笔记）</t>
        </is>
      </c>
      <c r="L67" s="40" t="inlineStr">
        <is>
          <t>气象</t>
        </is>
      </c>
      <c r="M67" s="40" t="inlineStr">
        <is>
          <t>地理</t>
        </is>
      </c>
      <c r="N67" s="40" t="inlineStr">
        <is>
          <t>历史</t>
        </is>
      </c>
      <c r="O67" s="42" t="inlineStr">
        <is>
          <t>古战场地形 + 盆地地形风 + 辐射雾形成</t>
        </is>
      </c>
      <c r="P67" s="41" t="inlineStr">
        <is>
          <t>溯源+微观</t>
        </is>
      </c>
      <c r="Q67" s="40" t="n"/>
      <c r="R67" s="39">
        <f>IF(COUNTIF($M$2:$M$101,M62)&gt;1,"⚠ 重复","唯一")</f>
        <v/>
      </c>
    </row>
    <row r="68" ht="29.85" customHeight="1" s="26">
      <c r="A68" t="inlineStr">
        <is>
          <t>A064</t>
        </is>
      </c>
      <c r="B68" t="inlineStr">
        <is>
          <t>⬜</t>
        </is>
      </c>
      <c r="C68" s="30" t="n">
        <v>62</v>
      </c>
      <c r="D68" s="31" t="inlineStr">
        <is>
          <t>古文書の褪せ墨</t>
        </is>
      </c>
      <c r="E68" s="31" t="inlineStr">
        <is>
          <t>古书信的褪墨</t>
        </is>
      </c>
      <c r="F68" s="30" t="inlineStr">
        <is>
          <t>II 感知期</t>
        </is>
      </c>
      <c r="G68" s="32" t="inlineStr">
        <is>
          <t>外延单元</t>
        </is>
      </c>
      <c r="H68" s="31" t="inlineStr">
        <is>
          <t>社区·历史</t>
        </is>
      </c>
      <c r="I68" s="30" t="inlineStr">
        <is>
          <t>3月</t>
        </is>
      </c>
      <c r="J68" s="31" t="inlineStr">
        <is>
          <t>葛西·瑆</t>
        </is>
      </c>
      <c r="K68" s="31" t="inlineStr">
        <is>
          <t>光·慧美·志郎·珣·理紗·中谷·葛西（+瑆 笔记）</t>
        </is>
      </c>
      <c r="L68" s="31" t="inlineStr">
        <is>
          <t>化学</t>
        </is>
      </c>
      <c r="M68" s="31" t="inlineStr">
        <is>
          <t>材料</t>
        </is>
      </c>
      <c r="N68" s="31" t="inlineStr">
        <is>
          <t>历史</t>
        </is>
      </c>
      <c r="O68" s="33" t="inlineStr">
        <is>
          <t>古文字识读 + 纸张酸化 + 铁胆墨水氧化</t>
        </is>
      </c>
      <c r="P68" s="32" t="inlineStr">
        <is>
          <t>溯源+人际</t>
        </is>
      </c>
      <c r="Q68" s="31" t="inlineStr">
        <is>
          <t>种子④(古书信)</t>
        </is>
      </c>
      <c r="R68" s="30">
        <f>IF(COUNTIF($M$2:$M$101,M63)&gt;1,"⚠ 重复","唯一")</f>
        <v/>
      </c>
    </row>
    <row r="69" ht="29.85" customHeight="1" s="26">
      <c r="A69" t="inlineStr">
        <is>
          <t>C003</t>
        </is>
      </c>
      <c r="B69" t="inlineStr">
        <is>
          <t>⬜</t>
        </is>
      </c>
      <c r="C69" s="39" t="n">
        <v>63</v>
      </c>
      <c r="D69" s="40" t="inlineStr">
        <is>
          <t>七輪の炭火</t>
        </is>
      </c>
      <c r="E69" s="40" t="inlineStr">
        <is>
          <t>七轮炭火的温度</t>
        </is>
      </c>
      <c r="F69" s="39" t="inlineStr">
        <is>
          <t>II 感知期</t>
        </is>
      </c>
      <c r="G69" s="41" t="inlineStr">
        <is>
          <t>外延单元</t>
        </is>
      </c>
      <c r="H69" s="40" t="inlineStr">
        <is>
          <t>主题专项·食农</t>
        </is>
      </c>
      <c r="I69" s="39" t="inlineStr">
        <is>
          <t>4月</t>
        </is>
      </c>
      <c r="J69" s="40" t="inlineStr">
        <is>
          <t>慧美</t>
        </is>
      </c>
      <c r="K69" s="40" t="inlineStr">
        <is>
          <t>光·慧美·志郎·珣·理紗·中谷（+瑆 笔记）</t>
        </is>
      </c>
      <c r="L69" s="40" t="inlineStr">
        <is>
          <t>热学</t>
        </is>
      </c>
      <c r="M69" s="40" t="inlineStr">
        <is>
          <t>化学</t>
        </is>
      </c>
      <c r="N69" s="40" t="inlineStr">
        <is>
          <t>流体</t>
        </is>
      </c>
      <c r="O69" s="42" t="inlineStr">
        <is>
          <t>不完全燃烧 + 红外辐射加热 + 通风控温</t>
        </is>
      </c>
      <c r="P69" s="41" t="inlineStr">
        <is>
          <t>实验</t>
        </is>
      </c>
      <c r="Q69" s="40" t="n"/>
      <c r="R69" s="39">
        <f>IF(COUNTIF($M$2:$M$101,M64)&gt;1,"⚠ 重复","唯一")</f>
        <v/>
      </c>
    </row>
    <row r="70" ht="29.85" customHeight="1" s="26">
      <c r="A70" t="inlineStr">
        <is>
          <t>A065</t>
        </is>
      </c>
      <c r="B70" t="inlineStr">
        <is>
          <t>⬜</t>
        </is>
      </c>
      <c r="C70" s="39" t="n">
        <v>64</v>
      </c>
      <c r="D70" s="40" t="inlineStr">
        <is>
          <t>招き猫の右手左手</t>
        </is>
      </c>
      <c r="E70" s="40" t="inlineStr">
        <is>
          <t>招财猫举哪只手</t>
        </is>
      </c>
      <c r="F70" s="39" t="inlineStr">
        <is>
          <t>II 感知期</t>
        </is>
      </c>
      <c r="G70" s="41" t="inlineStr">
        <is>
          <t>外延单元</t>
        </is>
      </c>
      <c r="H70" s="40" t="inlineStr">
        <is>
          <t>主题专项·民俗</t>
        </is>
      </c>
      <c r="I70" s="39" t="inlineStr">
        <is>
          <t>5月</t>
        </is>
      </c>
      <c r="J70" s="40" t="inlineStr">
        <is>
          <t>瑆·理紗</t>
        </is>
      </c>
      <c r="K70" s="40" t="inlineStr">
        <is>
          <t>光·慧美·志郎·珣·理紗·中谷（+瑆 笔记）</t>
        </is>
      </c>
      <c r="L70" s="40" t="inlineStr">
        <is>
          <t>数学</t>
        </is>
      </c>
      <c r="M70" s="40" t="inlineStr">
        <is>
          <t>心理</t>
        </is>
      </c>
      <c r="N70" s="40" t="inlineStr">
        <is>
          <t>民俗</t>
        </is>
      </c>
      <c r="O70" s="42" t="inlineStr">
        <is>
          <t>左右习惯 + 记忆错误 + 镜像对称</t>
        </is>
      </c>
      <c r="P70" s="41" t="inlineStr">
        <is>
          <t>人际+感知</t>
        </is>
      </c>
      <c r="Q70" s="40" t="n"/>
      <c r="R70" s="39">
        <f>IF(COUNTIF($M$2:$M$101,M65)&gt;1,"⚠ 重复","唯一")</f>
        <v/>
      </c>
    </row>
    <row r="71" ht="29.85" customHeight="1" s="26">
      <c r="A71" t="inlineStr">
        <is>
          <t>B019</t>
        </is>
      </c>
      <c r="B71" t="inlineStr">
        <is>
          <t>⬜</t>
        </is>
      </c>
      <c r="C71" s="39" t="n">
        <v>65</v>
      </c>
      <c r="D71" s="40" t="inlineStr">
        <is>
          <t>潮だまりの生き物</t>
        </is>
      </c>
      <c r="E71" s="40" t="inlineStr">
        <is>
          <t>海边潮池的生物</t>
        </is>
      </c>
      <c r="F71" s="39" t="inlineStr">
        <is>
          <t>II 感知期</t>
        </is>
      </c>
      <c r="G71" s="41" t="inlineStr">
        <is>
          <t>外延单元</t>
        </is>
      </c>
      <c r="H71" s="40" t="inlineStr">
        <is>
          <t>城市特典·海岸</t>
        </is>
      </c>
      <c r="I71" s="39" t="inlineStr">
        <is>
          <t>6月</t>
        </is>
      </c>
      <c r="J71" s="40" t="inlineStr">
        <is>
          <t>珣</t>
        </is>
      </c>
      <c r="K71" s="40" t="inlineStr">
        <is>
          <t>光·慧美·志郎·珣·理紗·中谷（+瑆 笔记）</t>
        </is>
      </c>
      <c r="L71" s="40" t="inlineStr">
        <is>
          <t>天文</t>
        </is>
      </c>
      <c r="M71" s="40" t="inlineStr">
        <is>
          <t>化学</t>
        </is>
      </c>
      <c r="N71" s="40" t="inlineStr">
        <is>
          <t>生物</t>
        </is>
      </c>
      <c r="O71" s="42" t="inlineStr">
        <is>
          <t>潮汐月相 + 潮间带生态 + 蒸发盐度</t>
        </is>
      </c>
      <c r="P71" s="41" t="inlineStr">
        <is>
          <t>微观</t>
        </is>
      </c>
      <c r="Q71" s="40" t="n"/>
      <c r="R71" s="39">
        <f>IF(COUNTIF($M$2:$M$101,M66)&gt;1,"⚠ 重复","唯一")</f>
        <v/>
      </c>
    </row>
    <row r="72" ht="29.85" customHeight="1" s="26">
      <c r="A72" t="inlineStr">
        <is>
          <t>B020</t>
        </is>
      </c>
      <c r="B72" t="inlineStr">
        <is>
          <t>⬜</t>
        </is>
      </c>
      <c r="C72" s="39" t="n">
        <v>66</v>
      </c>
      <c r="D72" s="40" t="inlineStr">
        <is>
          <t>灯台の光</t>
        </is>
      </c>
      <c r="E72" s="40" t="inlineStr">
        <is>
          <t>灯塔的光</t>
        </is>
      </c>
      <c r="F72" s="39" t="inlineStr">
        <is>
          <t>II 感知期</t>
        </is>
      </c>
      <c r="G72" s="41" t="inlineStr">
        <is>
          <t>外延单元</t>
        </is>
      </c>
      <c r="H72" s="40" t="inlineStr">
        <is>
          <t>城市特典·海岸</t>
        </is>
      </c>
      <c r="I72" s="39" t="inlineStr">
        <is>
          <t>7月</t>
        </is>
      </c>
      <c r="J72" s="40" t="inlineStr">
        <is>
          <t>志郎·珣</t>
        </is>
      </c>
      <c r="K72" s="40" t="inlineStr">
        <is>
          <t>光·慧美·志郎·珣·理紗·中谷（+瑆 笔记）</t>
        </is>
      </c>
      <c r="L72" s="40" t="inlineStr">
        <is>
          <t>光学</t>
        </is>
      </c>
      <c r="M72" s="40" t="inlineStr">
        <is>
          <t>工程</t>
        </is>
      </c>
      <c r="N72" s="40" t="inlineStr">
        <is>
          <t>气象</t>
        </is>
      </c>
      <c r="O72" s="42" t="inlineStr">
        <is>
          <t>旋转周期 + 菲涅尔透镜 + 雾中能见度</t>
        </is>
      </c>
      <c r="P72" s="41" t="inlineStr">
        <is>
          <t>结构还原</t>
        </is>
      </c>
      <c r="Q72" s="40" t="n"/>
      <c r="R72" s="39">
        <f>IF(COUNTIF($M$2:$M$101,M67)&gt;1,"⚠ 重复","唯一")</f>
        <v/>
      </c>
    </row>
    <row r="73" ht="29.85" customHeight="1" s="26">
      <c r="A73" t="inlineStr">
        <is>
          <t>B021</t>
        </is>
      </c>
      <c r="B73" t="inlineStr">
        <is>
          <t>⬜</t>
        </is>
      </c>
      <c r="C73" s="39" t="n">
        <v>67</v>
      </c>
      <c r="D73" s="40" t="inlineStr">
        <is>
          <t>鳴き砂</t>
        </is>
      </c>
      <c r="E73" s="40" t="inlineStr">
        <is>
          <t>海滩的鸣沙</t>
        </is>
      </c>
      <c r="F73" s="39" t="inlineStr">
        <is>
          <t>II 感知期</t>
        </is>
      </c>
      <c r="G73" s="41" t="inlineStr">
        <is>
          <t>外延单元</t>
        </is>
      </c>
      <c r="H73" s="40" t="inlineStr">
        <is>
          <t>城市特典·海岸</t>
        </is>
      </c>
      <c r="I73" s="39" t="inlineStr">
        <is>
          <t>8月</t>
        </is>
      </c>
      <c r="J73" s="40" t="inlineStr">
        <is>
          <t>珣</t>
        </is>
      </c>
      <c r="K73" s="40" t="inlineStr">
        <is>
          <t>光·慧美·志郎·珣·理紗·中谷（+瑆 笔记）</t>
        </is>
      </c>
      <c r="L73" s="40" t="inlineStr">
        <is>
          <t>声学</t>
        </is>
      </c>
      <c r="M73" s="40" t="inlineStr">
        <is>
          <t>地质</t>
        </is>
      </c>
      <c r="N73" s="40" t="inlineStr">
        <is>
          <t>气象</t>
        </is>
      </c>
      <c r="O73" s="42" t="inlineStr">
        <is>
          <t>干湿影响 + 砂粒均匀度 + 鸣沙摩擦发声</t>
        </is>
      </c>
      <c r="P73" s="41" t="inlineStr">
        <is>
          <t>微观</t>
        </is>
      </c>
      <c r="Q73" s="40" t="n"/>
      <c r="R73" s="39">
        <f>IF(COUNTIF($M$2:$M$101,M68)&gt;1,"⚠ 重复","唯一")</f>
        <v/>
      </c>
    </row>
    <row r="74" ht="29.85" customHeight="1" s="26">
      <c r="A74" t="inlineStr">
        <is>
          <t>B022</t>
        </is>
      </c>
      <c r="B74" t="inlineStr">
        <is>
          <t>⬜</t>
        </is>
      </c>
      <c r="C74" s="39" t="n">
        <v>68</v>
      </c>
      <c r="D74" s="40" t="inlineStr">
        <is>
          <t>酒蔵の泡</t>
        </is>
      </c>
      <c r="E74" s="40" t="inlineStr">
        <is>
          <t>老酒窖的气泡</t>
        </is>
      </c>
      <c r="F74" s="39" t="inlineStr">
        <is>
          <t>II 感知期</t>
        </is>
      </c>
      <c r="G74" s="41" t="inlineStr">
        <is>
          <t>外延单元</t>
        </is>
      </c>
      <c r="H74" s="40" t="inlineStr">
        <is>
          <t>城市特典·食农</t>
        </is>
      </c>
      <c r="I74" s="39" t="inlineStr">
        <is>
          <t>9月</t>
        </is>
      </c>
      <c r="J74" s="40" t="inlineStr">
        <is>
          <t>慧美</t>
        </is>
      </c>
      <c r="K74" s="40" t="inlineStr">
        <is>
          <t>光·慧美·志郎·珣·理紗·中谷（+瑆 笔记）</t>
        </is>
      </c>
      <c r="L74" s="40" t="inlineStr">
        <is>
          <t>食品化学</t>
        </is>
      </c>
      <c r="M74" s="40" t="inlineStr">
        <is>
          <t>热学</t>
        </is>
      </c>
      <c r="N74" s="40" t="inlineStr">
        <is>
          <t>微生物</t>
        </is>
      </c>
      <c r="O74" s="42" t="inlineStr">
        <is>
          <t>发酵产气 + 杂菌污染 + 温度发酵速率</t>
        </is>
      </c>
      <c r="P74" s="41" t="inlineStr">
        <is>
          <t>实验</t>
        </is>
      </c>
      <c r="Q74" s="40" t="n"/>
      <c r="R74" s="39">
        <f>IF(COUNTIF($M$2:$M$101,M69)&gt;1,"⚠ 重复","唯一")</f>
        <v/>
      </c>
    </row>
    <row r="75" ht="29.85" customHeight="1" s="26">
      <c r="A75" t="inlineStr">
        <is>
          <t>A066</t>
        </is>
      </c>
      <c r="B75" t="inlineStr">
        <is>
          <t>⬜</t>
        </is>
      </c>
      <c r="C75" s="39" t="n">
        <v>69</v>
      </c>
      <c r="D75" s="40" t="inlineStr">
        <is>
          <t>神楽面の表情</t>
        </is>
      </c>
      <c r="E75" s="40" t="inlineStr">
        <is>
          <t>神乐面具的表情</t>
        </is>
      </c>
      <c r="F75" s="39" t="inlineStr">
        <is>
          <t>II 感知期</t>
        </is>
      </c>
      <c r="G75" s="41" t="inlineStr">
        <is>
          <t>外延单元</t>
        </is>
      </c>
      <c r="H75" s="40" t="inlineStr">
        <is>
          <t>主题专项·民俗</t>
        </is>
      </c>
      <c r="I75" s="39" t="inlineStr">
        <is>
          <t>10月</t>
        </is>
      </c>
      <c r="J75" s="40" t="inlineStr">
        <is>
          <t>理紗·瑆</t>
        </is>
      </c>
      <c r="K75" s="40" t="inlineStr">
        <is>
          <t>光·慧美·志郎·珣·理紗·中谷（+瑆 笔记）</t>
        </is>
      </c>
      <c r="L75" s="40" t="inlineStr">
        <is>
          <t>感知</t>
        </is>
      </c>
      <c r="M75" s="40" t="inlineStr">
        <is>
          <t>光学</t>
        </is>
      </c>
      <c r="N75" s="40" t="inlineStr">
        <is>
          <t>民俗</t>
        </is>
      </c>
      <c r="O75" s="42" t="inlineStr">
        <is>
          <t>符号识别 + 视角表情错觉 + 阴影塑形</t>
        </is>
      </c>
      <c r="P75" s="41" t="inlineStr">
        <is>
          <t>感知+人际</t>
        </is>
      </c>
      <c r="Q75" s="40" t="n"/>
      <c r="R75" s="39">
        <f>IF(COUNTIF($M$2:$M$101,M70)&gt;1,"⚠ 重复","唯一")</f>
        <v/>
      </c>
    </row>
    <row r="76" ht="29.85" customHeight="1" s="26">
      <c r="A76" t="inlineStr">
        <is>
          <t>B023</t>
        </is>
      </c>
      <c r="B76" t="inlineStr">
        <is>
          <t>⬜</t>
        </is>
      </c>
      <c r="C76" s="39" t="n">
        <v>70</v>
      </c>
      <c r="D76" s="40" t="inlineStr">
        <is>
          <t>古墳の石室</t>
        </is>
      </c>
      <c r="E76" s="40" t="inlineStr">
        <is>
          <t>古坟石室的凉</t>
        </is>
      </c>
      <c r="F76" s="39" t="inlineStr">
        <is>
          <t>II 感知期</t>
        </is>
      </c>
      <c r="G76" s="41" t="inlineStr">
        <is>
          <t>外延单元</t>
        </is>
      </c>
      <c r="H76" s="40" t="inlineStr">
        <is>
          <t>城市特典·考古</t>
        </is>
      </c>
      <c r="I76" s="39" t="inlineStr">
        <is>
          <t>11月</t>
        </is>
      </c>
      <c r="J76" s="40" t="inlineStr">
        <is>
          <t>珣·葛西</t>
        </is>
      </c>
      <c r="K76" s="40" t="inlineStr">
        <is>
          <t>光·慧美·志郎·珣·理紗·中谷·葛西（+瑆 笔记）</t>
        </is>
      </c>
      <c r="L76" s="40" t="inlineStr">
        <is>
          <t>地质</t>
        </is>
      </c>
      <c r="M76" s="40" t="inlineStr">
        <is>
          <t>材料</t>
        </is>
      </c>
      <c r="N76" s="40" t="inlineStr">
        <is>
          <t>气象</t>
        </is>
      </c>
      <c r="O76" s="42" t="inlineStr">
        <is>
          <t>地中恒温 + 石室结露 + 石材热惰性</t>
        </is>
      </c>
      <c r="P76" s="41" t="inlineStr">
        <is>
          <t>微观+溯源</t>
        </is>
      </c>
      <c r="Q76" s="40" t="n"/>
      <c r="R76" s="39">
        <f>IF(COUNTIF($M$2:$M$101,M71)&gt;1,"⚠ 重复","唯一")</f>
        <v/>
      </c>
    </row>
    <row r="77" ht="29.85" customHeight="1" s="26">
      <c r="A77" t="inlineStr">
        <is>
          <t>A067</t>
        </is>
      </c>
      <c r="B77" t="inlineStr">
        <is>
          <t>⬜</t>
        </is>
      </c>
      <c r="C77" s="39" t="n">
        <v>71</v>
      </c>
      <c r="D77" s="40" t="inlineStr">
        <is>
          <t>だるまの目</t>
        </is>
      </c>
      <c r="E77" s="40" t="inlineStr">
        <is>
          <t>不倒翁的眼睛</t>
        </is>
      </c>
      <c r="F77" s="39" t="inlineStr">
        <is>
          <t>II 感知期</t>
        </is>
      </c>
      <c r="G77" s="41" t="inlineStr">
        <is>
          <t>外延单元</t>
        </is>
      </c>
      <c r="H77" s="40" t="inlineStr">
        <is>
          <t>主题专项·民俗</t>
        </is>
      </c>
      <c r="I77" s="39" t="inlineStr">
        <is>
          <t>12月</t>
        </is>
      </c>
      <c r="J77" s="40" t="inlineStr">
        <is>
          <t>志郎</t>
        </is>
      </c>
      <c r="K77" s="40" t="inlineStr">
        <is>
          <t>光·慧美·志郎·珣·理紗·中谷（+瑆 笔记）</t>
        </is>
      </c>
      <c r="L77" s="40" t="inlineStr">
        <is>
          <t>力学</t>
        </is>
      </c>
      <c r="M77" s="40" t="inlineStr">
        <is>
          <t>物理</t>
        </is>
      </c>
      <c r="N77" s="40" t="inlineStr">
        <is>
          <t>民俗</t>
        </is>
      </c>
      <c r="O77" s="42" t="inlineStr">
        <is>
          <t>低重心稳定 + 摆动阻尼 + 民俗祈愿</t>
        </is>
      </c>
      <c r="P77" s="41" t="inlineStr">
        <is>
          <t>结构还原</t>
        </is>
      </c>
      <c r="Q77" s="40" t="n"/>
      <c r="R77" s="39">
        <f>IF(COUNTIF($M$2:$M$101,M72)&gt;1,"⚠ 重复","唯一")</f>
        <v/>
      </c>
    </row>
    <row r="78" ht="29.85" customHeight="1" s="26">
      <c r="A78" t="inlineStr">
        <is>
          <t>B024</t>
        </is>
      </c>
      <c r="B78" t="inlineStr">
        <is>
          <t>⬜</t>
        </is>
      </c>
      <c r="C78" s="39" t="n">
        <v>72</v>
      </c>
      <c r="D78" s="40" t="inlineStr">
        <is>
          <t>茶室のにじり口</t>
        </is>
      </c>
      <c r="E78" s="40" t="inlineStr">
        <is>
          <t>茶室小门的光</t>
        </is>
      </c>
      <c r="F78" s="39" t="inlineStr">
        <is>
          <t>II 感知期</t>
        </is>
      </c>
      <c r="G78" s="41" t="inlineStr">
        <is>
          <t>外延单元</t>
        </is>
      </c>
      <c r="H78" s="40" t="inlineStr">
        <is>
          <t>城市特典·茶道</t>
        </is>
      </c>
      <c r="I78" s="39" t="inlineStr">
        <is>
          <t>1月</t>
        </is>
      </c>
      <c r="J78" s="40" t="inlineStr">
        <is>
          <t>理紗</t>
        </is>
      </c>
      <c r="K78" s="40" t="inlineStr">
        <is>
          <t>光·慧美·志郎·珣·理紗·中谷（+瑆 笔记）</t>
        </is>
      </c>
      <c r="L78" s="40" t="inlineStr">
        <is>
          <t>建筑</t>
        </is>
      </c>
      <c r="M78" s="40" t="inlineStr">
        <is>
          <t>人体</t>
        </is>
      </c>
      <c r="N78" s="40" t="inlineStr">
        <is>
          <t>心理</t>
        </is>
      </c>
      <c r="O78" s="42" t="inlineStr">
        <is>
          <t>小开口采光 + 明暗适应 + 空间心理</t>
        </is>
      </c>
      <c r="P78" s="41" t="inlineStr">
        <is>
          <t>感知</t>
        </is>
      </c>
      <c r="Q78" s="40" t="n"/>
      <c r="R78" s="39">
        <f>IF(COUNTIF($M$2:$M$101,M73)&gt;1,"⚠ 重复","唯一")</f>
        <v/>
      </c>
    </row>
    <row r="79" ht="29.85" customHeight="1" s="26">
      <c r="A79" t="inlineStr">
        <is>
          <t>A068</t>
        </is>
      </c>
      <c r="B79" t="inlineStr">
        <is>
          <t>⬜ · ★L02</t>
        </is>
      </c>
      <c r="C79" s="30" t="n">
        <v>73</v>
      </c>
      <c r="D79" s="31" t="inlineStr">
        <is>
          <t>古地図の道</t>
        </is>
      </c>
      <c r="E79" s="31" t="inlineStr">
        <is>
          <t>古地图上的路</t>
        </is>
      </c>
      <c r="F79" s="30" t="inlineStr">
        <is>
          <t>II 感知期</t>
        </is>
      </c>
      <c r="G79" s="32" t="inlineStr">
        <is>
          <t>范式深化</t>
        </is>
      </c>
      <c r="H79" s="31" t="inlineStr">
        <is>
          <t>社区·长线</t>
        </is>
      </c>
      <c r="I79" s="30" t="inlineStr">
        <is>
          <t>2月</t>
        </is>
      </c>
      <c r="J79" s="31" t="inlineStr">
        <is>
          <t>葛西·珣</t>
        </is>
      </c>
      <c r="K79" s="31" t="inlineStr">
        <is>
          <t>光·慧美·志郎·珣·理紗·中谷·葛西（+瑆 笔记）</t>
        </is>
      </c>
      <c r="L79" s="31" t="inlineStr">
        <is>
          <t>地理</t>
        </is>
      </c>
      <c r="M79" s="31" t="inlineStr">
        <is>
          <t>历史</t>
        </is>
      </c>
      <c r="N79" s="31" t="inlineStr">
        <is>
          <t>天文</t>
        </is>
      </c>
      <c r="O79" s="33" t="inlineStr">
        <is>
          <t>古道选线 + 磁偏角 + 等高线判读</t>
        </is>
      </c>
      <c r="P79" s="32" t="inlineStr">
        <is>
          <t>溯源+微观</t>
        </is>
      </c>
      <c r="Q79" s="31" t="inlineStr">
        <is>
          <t>长线收束点②(地图线)</t>
        </is>
      </c>
      <c r="R79" s="30">
        <f>IF(COUNTIF($M$2:$M$101,M74)&gt;1,"⚠ 重复","唯一")</f>
        <v/>
      </c>
    </row>
    <row r="80" ht="29.85" customHeight="1" s="26">
      <c r="A80" t="inlineStr">
        <is>
          <t>A069</t>
        </is>
      </c>
      <c r="B80" t="inlineStr">
        <is>
          <t>⬜</t>
        </is>
      </c>
      <c r="C80" s="39" t="n">
        <v>74</v>
      </c>
      <c r="D80" s="40" t="inlineStr">
        <is>
          <t>提灯行列の灯</t>
        </is>
      </c>
      <c r="E80" s="40" t="inlineStr">
        <is>
          <t>灯笼游行的火</t>
        </is>
      </c>
      <c r="F80" s="39" t="inlineStr">
        <is>
          <t>II 感知期</t>
        </is>
      </c>
      <c r="G80" s="41" t="inlineStr">
        <is>
          <t>外延单元</t>
        </is>
      </c>
      <c r="H80" s="40" t="inlineStr">
        <is>
          <t>季节特别·祭典</t>
        </is>
      </c>
      <c r="I80" s="39" t="inlineStr">
        <is>
          <t>3月</t>
        </is>
      </c>
      <c r="J80" s="40" t="inlineStr">
        <is>
          <t>珣</t>
        </is>
      </c>
      <c r="K80" s="40" t="inlineStr">
        <is>
          <t>光·慧美·志郎·珣·理紗·中谷（+瑆 笔记）</t>
        </is>
      </c>
      <c r="L80" s="40" t="inlineStr">
        <is>
          <t>热学</t>
        </is>
      </c>
      <c r="M80" s="40" t="inlineStr">
        <is>
          <t>流体</t>
        </is>
      </c>
      <c r="N80" s="40" t="inlineStr">
        <is>
          <t>感知</t>
        </is>
      </c>
      <c r="O80" s="42" t="inlineStr">
        <is>
          <t>群体光感 + 蜡烛对流焰 + 风中焰倾</t>
        </is>
      </c>
      <c r="P80" s="41" t="inlineStr">
        <is>
          <t>微观</t>
        </is>
      </c>
      <c r="Q80" s="40" t="n"/>
      <c r="R80" s="39">
        <f>IF(COUNTIF($M$2:$M$101,M75)&gt;1,"⚠ 重复","唯一")</f>
        <v/>
      </c>
    </row>
    <row r="81" ht="29.85" customHeight="1" s="26">
      <c r="A81" t="inlineStr">
        <is>
          <t>A070</t>
        </is>
      </c>
      <c r="B81" t="inlineStr">
        <is>
          <t>⬜</t>
        </is>
      </c>
      <c r="C81" s="39" t="n">
        <v>75</v>
      </c>
      <c r="D81" s="40" t="inlineStr">
        <is>
          <t>古時計の振り子</t>
        </is>
      </c>
      <c r="E81" s="40" t="inlineStr">
        <is>
          <t>老座钟的钟摆</t>
        </is>
      </c>
      <c r="F81" s="39" t="inlineStr">
        <is>
          <t>II 感知期</t>
        </is>
      </c>
      <c r="G81" s="41" t="inlineStr">
        <is>
          <t>外延单元</t>
        </is>
      </c>
      <c r="H81" s="40" t="inlineStr">
        <is>
          <t>主题专项·历史</t>
        </is>
      </c>
      <c r="I81" s="39" t="inlineStr">
        <is>
          <t>4月</t>
        </is>
      </c>
      <c r="J81" s="40" t="inlineStr">
        <is>
          <t>慧美·志郎</t>
        </is>
      </c>
      <c r="K81" s="40" t="inlineStr">
        <is>
          <t>光·慧美·志郎·珣·理紗·中谷（+瑆 笔记）</t>
        </is>
      </c>
      <c r="L81" s="40" t="inlineStr">
        <is>
          <t>力学</t>
        </is>
      </c>
      <c r="M81" s="40" t="inlineStr">
        <is>
          <t>热学</t>
        </is>
      </c>
      <c r="N81" s="40" t="inlineStr">
        <is>
          <t>数学</t>
        </is>
      </c>
      <c r="O81" s="42" t="inlineStr">
        <is>
          <t>单摆周期 + 摆长热胀 + 走时误差</t>
        </is>
      </c>
      <c r="P81" s="41" t="inlineStr">
        <is>
          <t>实验+结构</t>
        </is>
      </c>
      <c r="Q81" s="40" t="n"/>
      <c r="R81" s="39">
        <f>IF(COUNTIF($M$2:$M$101,M76)&gt;1,"⚠ 重复","唯一")</f>
        <v/>
      </c>
    </row>
    <row r="82" ht="29.85" customHeight="1" s="26">
      <c r="A82" t="inlineStr">
        <is>
          <t>B025</t>
        </is>
      </c>
      <c r="B82" t="inlineStr">
        <is>
          <t>⬜ · 有松絞</t>
        </is>
      </c>
      <c r="C82" s="39" t="n">
        <v>76</v>
      </c>
      <c r="D82" s="40" t="inlineStr">
        <is>
          <t>藍染め</t>
        </is>
      </c>
      <c r="E82" s="40" t="inlineStr">
        <is>
          <t>染坊的蓝</t>
        </is>
      </c>
      <c r="F82" s="39" t="inlineStr">
        <is>
          <t>II 感知期</t>
        </is>
      </c>
      <c r="G82" s="41" t="inlineStr">
        <is>
          <t>外延单元</t>
        </is>
      </c>
      <c r="H82" s="40" t="inlineStr">
        <is>
          <t>城市特典·染织</t>
        </is>
      </c>
      <c r="I82" s="39" t="inlineStr">
        <is>
          <t>5月</t>
        </is>
      </c>
      <c r="J82" s="40" t="inlineStr">
        <is>
          <t>慧美·理紗</t>
        </is>
      </c>
      <c r="K82" s="40" t="inlineStr">
        <is>
          <t>光·慧美·志郎·珣·理紗·中谷（+瑆 笔记）</t>
        </is>
      </c>
      <c r="L82" s="40" t="inlineStr">
        <is>
          <t>化学</t>
        </is>
      </c>
      <c r="M82" s="40" t="inlineStr">
        <is>
          <t>材料</t>
        </is>
      </c>
      <c r="N82" s="40" t="inlineStr">
        <is>
          <t>光学</t>
        </is>
      </c>
      <c r="O82" s="42" t="inlineStr">
        <is>
          <t>媒染固色 + 阳光褪色 + 靛蓝氧化显色</t>
        </is>
      </c>
      <c r="P82" s="41" t="inlineStr">
        <is>
          <t>实验+感知</t>
        </is>
      </c>
      <c r="Q82" s="40" t="n"/>
      <c r="R82" s="39">
        <f>IF(COUNTIF($M$2:$M$101,M77)&gt;1,"⚠ 重复","唯一")</f>
        <v/>
      </c>
    </row>
    <row r="83" ht="29.85" customHeight="1" s="26">
      <c r="A83" t="inlineStr">
        <is>
          <t>A071</t>
        </is>
      </c>
      <c r="B83" t="inlineStr">
        <is>
          <t>⬜</t>
        </is>
      </c>
      <c r="C83" s="39" t="n">
        <v>77</v>
      </c>
      <c r="D83" s="40" t="inlineStr">
        <is>
          <t>絞りの模様</t>
        </is>
      </c>
      <c r="E83" s="40" t="inlineStr">
        <is>
          <t>绞染的花纹</t>
        </is>
      </c>
      <c r="F83" s="39" t="inlineStr">
        <is>
          <t>II 感知期</t>
        </is>
      </c>
      <c r="G83" s="41" t="inlineStr">
        <is>
          <t>外延单元</t>
        </is>
      </c>
      <c r="H83" s="40" t="inlineStr">
        <is>
          <t>主题专项·染织</t>
        </is>
      </c>
      <c r="I83" s="39" t="inlineStr">
        <is>
          <t>6月</t>
        </is>
      </c>
      <c r="J83" s="40" t="inlineStr">
        <is>
          <t>瑆·理紗</t>
        </is>
      </c>
      <c r="K83" s="40" t="inlineStr">
        <is>
          <t>光·慧美·志郎·珣·理紗·中谷（+瑆 笔记）</t>
        </is>
      </c>
      <c r="L83" s="40" t="inlineStr">
        <is>
          <t>几何</t>
        </is>
      </c>
      <c r="M83" s="40" t="inlineStr">
        <is>
          <t>数学</t>
        </is>
      </c>
      <c r="N83" s="40" t="inlineStr">
        <is>
          <t>流体</t>
        </is>
      </c>
      <c r="O83" s="42" t="inlineStr">
        <is>
          <t>折叠对称 + 毛细渗透 + 防染几何</t>
        </is>
      </c>
      <c r="P83" s="41" t="inlineStr">
        <is>
          <t>人际+感知</t>
        </is>
      </c>
      <c r="Q83" s="40" t="n"/>
      <c r="R83" s="39">
        <f>IF(COUNTIF($M$2:$M$101,M78)&gt;1,"⚠ 重复","唯一")</f>
        <v/>
      </c>
    </row>
    <row r="84" ht="29.85" customHeight="1" s="26">
      <c r="A84" t="inlineStr">
        <is>
          <t>A072</t>
        </is>
      </c>
      <c r="B84" t="inlineStr">
        <is>
          <t>⬜</t>
        </is>
      </c>
      <c r="C84" s="39" t="n">
        <v>78</v>
      </c>
      <c r="D84" s="40" t="inlineStr">
        <is>
          <t>古い写真機</t>
        </is>
      </c>
      <c r="E84" s="40" t="inlineStr">
        <is>
          <t>老相机的成像</t>
        </is>
      </c>
      <c r="F84" s="39" t="inlineStr">
        <is>
          <t>II 感知期</t>
        </is>
      </c>
      <c r="G84" s="41" t="inlineStr">
        <is>
          <t>外延单元</t>
        </is>
      </c>
      <c r="H84" s="40" t="inlineStr">
        <is>
          <t>主题专项·摄影</t>
        </is>
      </c>
      <c r="I84" s="39" t="inlineStr">
        <is>
          <t>7月</t>
        </is>
      </c>
      <c r="J84" s="40" t="inlineStr">
        <is>
          <t>中谷·珣</t>
        </is>
      </c>
      <c r="K84" s="40" t="inlineStr">
        <is>
          <t>光·慧美·志郎·珣·理紗·中谷（+瑆 笔记）</t>
        </is>
      </c>
      <c r="L84" s="40" t="inlineStr">
        <is>
          <t>光学</t>
        </is>
      </c>
      <c r="M84" s="40" t="inlineStr">
        <is>
          <t>化学</t>
        </is>
      </c>
      <c r="N84" s="40" t="inlineStr">
        <is>
          <t>工程</t>
        </is>
      </c>
      <c r="O84" s="42" t="inlineStr">
        <is>
          <t>感光银盐 + 曝光时间 + 镜头成像</t>
        </is>
      </c>
      <c r="P84" s="41" t="inlineStr">
        <is>
          <t>微观+实验</t>
        </is>
      </c>
      <c r="Q84" s="40" t="n"/>
      <c r="R84" s="39">
        <f>IF(COUNTIF($M$2:$M$101,M79)&gt;1,"⚠ 重复","唯一")</f>
        <v/>
      </c>
    </row>
    <row r="85" ht="29.85" customHeight="1" s="26">
      <c r="A85" t="inlineStr">
        <is>
          <t>B026</t>
        </is>
      </c>
      <c r="B85" t="inlineStr">
        <is>
          <t>⬜</t>
        </is>
      </c>
      <c r="C85" s="39" t="n">
        <v>79</v>
      </c>
      <c r="D85" s="40" t="inlineStr">
        <is>
          <t>雪国の二重窓</t>
        </is>
      </c>
      <c r="E85" s="40" t="inlineStr">
        <is>
          <t>雪国的双层窗</t>
        </is>
      </c>
      <c r="F85" s="39" t="inlineStr">
        <is>
          <t>II 感知期</t>
        </is>
      </c>
      <c r="G85" s="41" t="inlineStr">
        <is>
          <t>外延单元</t>
        </is>
      </c>
      <c r="H85" s="40" t="inlineStr">
        <is>
          <t>城市特典·雪国</t>
        </is>
      </c>
      <c r="I85" s="39" t="inlineStr">
        <is>
          <t>12月</t>
        </is>
      </c>
      <c r="J85" s="40" t="inlineStr">
        <is>
          <t>志郎</t>
        </is>
      </c>
      <c r="K85" s="40" t="inlineStr">
        <is>
          <t>光·慧美·志郎·珣·理紗·中谷（+瑆 笔记）</t>
        </is>
      </c>
      <c r="L85" s="40" t="inlineStr">
        <is>
          <t>材料</t>
        </is>
      </c>
      <c r="M85" s="40" t="inlineStr">
        <is>
          <t>气象</t>
        </is>
      </c>
      <c r="N85" s="40" t="inlineStr">
        <is>
          <t>热学</t>
        </is>
      </c>
      <c r="O85" s="42" t="inlineStr">
        <is>
          <t>双窗防结露 + 室内外温差 + 空气隔热层</t>
        </is>
      </c>
      <c r="P85" s="41" t="inlineStr">
        <is>
          <t>结构还原</t>
        </is>
      </c>
      <c r="Q85" s="40" t="n"/>
      <c r="R85" s="39">
        <f>IF(COUNTIF($M$2:$M$101,M80)&gt;1,"⚠ 重复","唯一")</f>
        <v/>
      </c>
    </row>
    <row r="86" ht="29.85" customHeight="1" s="26">
      <c r="A86" t="inlineStr">
        <is>
          <t>B027</t>
        </is>
      </c>
      <c r="B86" t="inlineStr">
        <is>
          <t>⬜</t>
        </is>
      </c>
      <c r="C86" s="39" t="n">
        <v>80</v>
      </c>
      <c r="D86" s="40" t="inlineStr">
        <is>
          <t>温泉の湯けむり</t>
        </is>
      </c>
      <c r="E86" s="40" t="inlineStr">
        <is>
          <t>温泉的雾气</t>
        </is>
      </c>
      <c r="F86" s="39" t="inlineStr">
        <is>
          <t>II 感知期</t>
        </is>
      </c>
      <c r="G86" s="41" t="inlineStr">
        <is>
          <t>外延单元</t>
        </is>
      </c>
      <c r="H86" s="40" t="inlineStr">
        <is>
          <t>城市特典·温泉</t>
        </is>
      </c>
      <c r="I86" s="39" t="inlineStr">
        <is>
          <t>1月</t>
        </is>
      </c>
      <c r="J86" s="40" t="inlineStr">
        <is>
          <t>珣·葛西</t>
        </is>
      </c>
      <c r="K86" s="40" t="inlineStr">
        <is>
          <t>光·慧美·志郎·珣·理紗·中谷·葛西（+瑆 笔记）</t>
        </is>
      </c>
      <c r="L86" s="40" t="inlineStr">
        <is>
          <t>地质</t>
        </is>
      </c>
      <c r="M86" s="40" t="inlineStr">
        <is>
          <t>热学</t>
        </is>
      </c>
      <c r="N86" s="40" t="inlineStr">
        <is>
          <t>化学</t>
        </is>
      </c>
      <c r="O86" s="42" t="inlineStr">
        <is>
          <t>地热升温 + 硫磺气味 + 蒸汽凝结</t>
        </is>
      </c>
      <c r="P86" s="41" t="inlineStr">
        <is>
          <t>微观+溯源</t>
        </is>
      </c>
      <c r="Q86" s="40" t="n"/>
      <c r="R86" s="39">
        <f>IF(COUNTIF($M$2:$M$101,M81)&gt;1,"⚠ 重复","唯一")</f>
        <v/>
      </c>
    </row>
    <row r="87" ht="29.85" customHeight="1" s="26">
      <c r="A87" t="inlineStr">
        <is>
          <t>C004</t>
        </is>
      </c>
      <c r="B87" t="inlineStr">
        <is>
          <t>⬜</t>
        </is>
      </c>
      <c r="C87" s="39" t="n">
        <v>81</v>
      </c>
      <c r="D87" s="40" t="inlineStr">
        <is>
          <t>陶鈴の音</t>
        </is>
      </c>
      <c r="E87" s="40" t="inlineStr">
        <is>
          <t>陶铃的音高</t>
        </is>
      </c>
      <c r="F87" s="39" t="inlineStr">
        <is>
          <t>II 感知期</t>
        </is>
      </c>
      <c r="G87" s="41" t="inlineStr">
        <is>
          <t>外延单元</t>
        </is>
      </c>
      <c r="H87" s="40" t="inlineStr">
        <is>
          <t>主题专项·陶</t>
        </is>
      </c>
      <c r="I87" s="39" t="inlineStr">
        <is>
          <t>8月</t>
        </is>
      </c>
      <c r="J87" s="40" t="inlineStr">
        <is>
          <t>珣</t>
        </is>
      </c>
      <c r="K87" s="40" t="inlineStr">
        <is>
          <t>光·慧美·志郎·珣·理紗·中谷（+瑆 笔记）</t>
        </is>
      </c>
      <c r="L87" s="40" t="inlineStr">
        <is>
          <t>声学</t>
        </is>
      </c>
      <c r="M87" s="40" t="inlineStr">
        <is>
          <t>材料</t>
        </is>
      </c>
      <c r="N87" s="40" t="inlineStr">
        <is>
          <t>物理</t>
        </is>
      </c>
      <c r="O87" s="42" t="inlineStr">
        <is>
          <t>共鸣放大 + 空腔体积音高 + 陶壁厚度</t>
        </is>
      </c>
      <c r="P87" s="41" t="inlineStr">
        <is>
          <t>微观</t>
        </is>
      </c>
      <c r="Q87" s="40" t="n"/>
      <c r="R87" s="39">
        <f>IF(COUNTIF($M$2:$M$101,M82)&gt;1,"⚠ 重复","唯一")</f>
        <v/>
      </c>
    </row>
    <row r="88" ht="29.85" customHeight="1" s="26">
      <c r="A88" t="inlineStr">
        <is>
          <t>B028</t>
        </is>
      </c>
      <c r="B88" t="inlineStr">
        <is>
          <t>⬜</t>
        </is>
      </c>
      <c r="C88" s="39" t="n">
        <v>82</v>
      </c>
      <c r="D88" s="40" t="inlineStr">
        <is>
          <t>棚田の水</t>
        </is>
      </c>
      <c r="E88" s="40" t="inlineStr">
        <is>
          <t>梯田的水</t>
        </is>
      </c>
      <c r="F88" s="39" t="inlineStr">
        <is>
          <t>II 感知期</t>
        </is>
      </c>
      <c r="G88" s="41" t="inlineStr">
        <is>
          <t>外延单元</t>
        </is>
      </c>
      <c r="H88" s="40" t="inlineStr">
        <is>
          <t>城市特典·农</t>
        </is>
      </c>
      <c r="I88" s="39" t="inlineStr">
        <is>
          <t>9月</t>
        </is>
      </c>
      <c r="J88" s="40" t="inlineStr">
        <is>
          <t>志郎</t>
        </is>
      </c>
      <c r="K88" s="40" t="inlineStr">
        <is>
          <t>光·慧美·志郎·珣·理紗·中谷（+瑆 笔记）</t>
        </is>
      </c>
      <c r="L88" s="40" t="inlineStr">
        <is>
          <t>流体</t>
        </is>
      </c>
      <c r="M88" s="40" t="inlineStr">
        <is>
          <t>热学</t>
        </is>
      </c>
      <c r="N88" s="40" t="inlineStr">
        <is>
          <t>地质</t>
        </is>
      </c>
      <c r="O88" s="42" t="inlineStr">
        <is>
          <t>土壤保水 + 水温调节 + 自流灌溉</t>
        </is>
      </c>
      <c r="P88" s="41" t="inlineStr">
        <is>
          <t>结构还原</t>
        </is>
      </c>
      <c r="Q88" s="40" t="n"/>
      <c r="R88" s="39">
        <f>IF(COUNTIF($M$2:$M$101,M83)&gt;1,"⚠ 重复","唯一")</f>
        <v/>
      </c>
    </row>
    <row r="89" ht="29.85" customHeight="1" s="26">
      <c r="A89" t="inlineStr">
        <is>
          <t>A073</t>
        </is>
      </c>
      <c r="B89" t="inlineStr">
        <is>
          <t>⬜</t>
        </is>
      </c>
      <c r="C89" s="39" t="n">
        <v>83</v>
      </c>
      <c r="D89" s="40" t="inlineStr">
        <is>
          <t>蛍の光</t>
        </is>
      </c>
      <c r="E89" s="40" t="inlineStr">
        <is>
          <t>萤火虫的光</t>
        </is>
      </c>
      <c r="F89" s="39" t="inlineStr">
        <is>
          <t>II 感知期</t>
        </is>
      </c>
      <c r="G89" s="41" t="inlineStr">
        <is>
          <t>外延单元</t>
        </is>
      </c>
      <c r="H89" s="40" t="inlineStr">
        <is>
          <t>季节特别·生物</t>
        </is>
      </c>
      <c r="I89" s="39" t="inlineStr">
        <is>
          <t>6月</t>
        </is>
      </c>
      <c r="J89" s="40" t="inlineStr">
        <is>
          <t>珣</t>
        </is>
      </c>
      <c r="K89" s="40" t="inlineStr">
        <is>
          <t>光·慧美·志郎·珣·理紗·中谷（+瑆 笔记）</t>
        </is>
      </c>
      <c r="L89" s="40" t="inlineStr">
        <is>
          <t>生物</t>
        </is>
      </c>
      <c r="M89" s="40" t="inlineStr">
        <is>
          <t>化学</t>
        </is>
      </c>
      <c r="N89" s="40" t="inlineStr">
        <is>
          <t>气象</t>
        </is>
      </c>
      <c r="O89" s="42" t="inlineStr">
        <is>
          <t>求偶节律 + 温湿影响 + 生物发光</t>
        </is>
      </c>
      <c r="P89" s="41" t="inlineStr">
        <is>
          <t>微观</t>
        </is>
      </c>
      <c r="Q89" s="40" t="n"/>
      <c r="R89" s="39">
        <f>IF(COUNTIF($M$2:$M$101,M84)&gt;1,"⚠ 重复","唯一")</f>
        <v/>
      </c>
    </row>
    <row r="90" ht="29.85" customHeight="1" s="26">
      <c r="A90" t="inlineStr">
        <is>
          <t>A074</t>
        </is>
      </c>
      <c r="B90" t="inlineStr">
        <is>
          <t>⬜</t>
        </is>
      </c>
      <c r="C90" s="30" t="n">
        <v>84</v>
      </c>
      <c r="D90" s="31" t="inlineStr">
        <is>
          <t>古銭の緑青</t>
        </is>
      </c>
      <c r="E90" s="31" t="inlineStr">
        <is>
          <t>古钱的铜绿</t>
        </is>
      </c>
      <c r="F90" s="30" t="inlineStr">
        <is>
          <t>II 感知期</t>
        </is>
      </c>
      <c r="G90" s="32" t="inlineStr">
        <is>
          <t>外延单元</t>
        </is>
      </c>
      <c r="H90" s="31" t="inlineStr">
        <is>
          <t>社区·历史</t>
        </is>
      </c>
      <c r="I90" s="30" t="inlineStr">
        <is>
          <t>10月</t>
        </is>
      </c>
      <c r="J90" s="31" t="inlineStr">
        <is>
          <t>葛西·慧美</t>
        </is>
      </c>
      <c r="K90" s="31" t="inlineStr">
        <is>
          <t>光·慧美·志郎·珣·理紗·中谷·葛西（+瑆 笔记）</t>
        </is>
      </c>
      <c r="L90" s="31" t="inlineStr">
        <is>
          <t>化学</t>
        </is>
      </c>
      <c r="M90" s="31" t="inlineStr">
        <is>
          <t>材料</t>
        </is>
      </c>
      <c r="N90" s="31" t="inlineStr">
        <is>
          <t>历史</t>
        </is>
      </c>
      <c r="O90" s="33" t="inlineStr">
        <is>
          <t>酸雨加速 + 铜锈电化学 + 锈层年代</t>
        </is>
      </c>
      <c r="P90" s="32" t="inlineStr">
        <is>
          <t>溯源+实验</t>
        </is>
      </c>
      <c r="Q90" s="31" t="inlineStr">
        <is>
          <t>种子⑤(古钱)</t>
        </is>
      </c>
      <c r="R90" s="30">
        <f>IF(COUNTIF($M$2:$M$101,M85)&gt;1,"⚠ 重复","唯一")</f>
        <v/>
      </c>
    </row>
    <row r="91" ht="29.85" customHeight="1" s="26">
      <c r="A91" t="inlineStr">
        <is>
          <t>C005</t>
        </is>
      </c>
      <c r="B91" t="inlineStr">
        <is>
          <t>⬜</t>
        </is>
      </c>
      <c r="C91" s="39" t="n">
        <v>85</v>
      </c>
      <c r="D91" s="40" t="inlineStr">
        <is>
          <t>紙風船</t>
        </is>
      </c>
      <c r="E91" s="40" t="inlineStr">
        <is>
          <t>纸气球的浮沉</t>
        </is>
      </c>
      <c r="F91" s="39" t="inlineStr">
        <is>
          <t>II 感知期</t>
        </is>
      </c>
      <c r="G91" s="41" t="inlineStr">
        <is>
          <t>外延单元</t>
        </is>
      </c>
      <c r="H91" s="40" t="inlineStr">
        <is>
          <t>主题专项</t>
        </is>
      </c>
      <c r="I91" s="39" t="inlineStr">
        <is>
          <t>11月</t>
        </is>
      </c>
      <c r="J91" s="40" t="inlineStr">
        <is>
          <t>志郎</t>
        </is>
      </c>
      <c r="K91" s="40" t="inlineStr">
        <is>
          <t>光·慧美·志郎·珣·理紗·中谷（+瑆 笔记）</t>
        </is>
      </c>
      <c r="L91" s="40" t="inlineStr">
        <is>
          <t>流体</t>
        </is>
      </c>
      <c r="M91" s="40" t="inlineStr">
        <is>
          <t>力学</t>
        </is>
      </c>
      <c r="N91" s="40" t="inlineStr">
        <is>
          <t>几何</t>
        </is>
      </c>
      <c r="O91" s="42" t="inlineStr">
        <is>
          <t>弹性恢复 + 形状稳定 + 空气阻力</t>
        </is>
      </c>
      <c r="P91" s="41" t="inlineStr">
        <is>
          <t>结构还原</t>
        </is>
      </c>
      <c r="Q91" s="40" t="n"/>
      <c r="R91" s="39">
        <f>IF(COUNTIF($M$2:$M$101,M86)&gt;1,"⚠ 重复","唯一")</f>
        <v/>
      </c>
    </row>
    <row r="92" ht="29.85" customHeight="1" s="26">
      <c r="A92" t="inlineStr">
        <is>
          <t>A075</t>
        </is>
      </c>
      <c r="B92" t="inlineStr">
        <is>
          <t>⬜</t>
        </is>
      </c>
      <c r="C92" s="39" t="n">
        <v>86</v>
      </c>
      <c r="D92" s="40" t="inlineStr">
        <is>
          <t>影踏み</t>
        </is>
      </c>
      <c r="E92" s="40" t="inlineStr">
        <is>
          <t>踩影子游戏</t>
        </is>
      </c>
      <c r="F92" s="39" t="inlineStr">
        <is>
          <t>II 感知期</t>
        </is>
      </c>
      <c r="G92" s="41" t="inlineStr">
        <is>
          <t>外延单元</t>
        </is>
      </c>
      <c r="H92" s="40" t="inlineStr">
        <is>
          <t>季节特别·校园</t>
        </is>
      </c>
      <c r="I92" s="39" t="inlineStr">
        <is>
          <t>9月</t>
        </is>
      </c>
      <c r="J92" s="40" t="inlineStr">
        <is>
          <t>慧美·瑆</t>
        </is>
      </c>
      <c r="K92" s="40" t="inlineStr">
        <is>
          <t>光·慧美·志郎·珣·理紗·中谷（+瑆 笔记）</t>
        </is>
      </c>
      <c r="L92" s="40" t="inlineStr">
        <is>
          <t>数学</t>
        </is>
      </c>
      <c r="M92" s="40" t="inlineStr">
        <is>
          <t>几何</t>
        </is>
      </c>
      <c r="N92" s="40" t="inlineStr">
        <is>
          <t>天文</t>
        </is>
      </c>
      <c r="O92" s="42" t="inlineStr">
        <is>
          <t>影长比例 + 时刻变化 + 相似三角形</t>
        </is>
      </c>
      <c r="P92" s="41" t="inlineStr">
        <is>
          <t>实验+人际</t>
        </is>
      </c>
      <c r="Q92" s="40" t="n"/>
      <c r="R92" s="39">
        <f>IF(COUNTIF($M$2:$M$101,M87)&gt;1,"⚠ 重复","唯一")</f>
        <v/>
      </c>
    </row>
    <row r="93" ht="29.85" customHeight="1" s="26">
      <c r="A93" t="inlineStr">
        <is>
          <t>A076</t>
        </is>
      </c>
      <c r="B93" t="inlineStr">
        <is>
          <t>⬜</t>
        </is>
      </c>
      <c r="C93" s="39" t="n">
        <v>87</v>
      </c>
      <c r="D93" s="40" t="inlineStr">
        <is>
          <t>古井戸のこだま</t>
        </is>
      </c>
      <c r="E93" s="40" t="inlineStr">
        <is>
          <t>古井的回声</t>
        </is>
      </c>
      <c r="F93" s="39" t="inlineStr">
        <is>
          <t>II 感知期</t>
        </is>
      </c>
      <c r="G93" s="41" t="inlineStr">
        <is>
          <t>外延单元</t>
        </is>
      </c>
      <c r="H93" s="40" t="inlineStr">
        <is>
          <t>社区</t>
        </is>
      </c>
      <c r="I93" s="39" t="inlineStr">
        <is>
          <t>10月</t>
        </is>
      </c>
      <c r="J93" s="40" t="inlineStr">
        <is>
          <t>珣</t>
        </is>
      </c>
      <c r="K93" s="40" t="inlineStr">
        <is>
          <t>光·慧美·志郎·珣·理紗·中谷（+瑆 笔记）</t>
        </is>
      </c>
      <c r="L93" s="40" t="inlineStr">
        <is>
          <t>声学</t>
        </is>
      </c>
      <c r="M93" s="40" t="inlineStr">
        <is>
          <t>数学</t>
        </is>
      </c>
      <c r="N93" s="40" t="inlineStr">
        <is>
          <t>物理</t>
        </is>
      </c>
      <c r="O93" s="42" t="inlineStr">
        <is>
          <t>井筒驻波 + 回声延时测深 + 水面反声</t>
        </is>
      </c>
      <c r="P93" s="41" t="inlineStr">
        <is>
          <t>微观</t>
        </is>
      </c>
      <c r="Q93" s="40" t="n"/>
      <c r="R93" s="39">
        <f>IF(COUNTIF($M$2:$M$101,M88)&gt;1,"⚠ 重复","唯一")</f>
        <v/>
      </c>
    </row>
    <row r="94" ht="29.85" customHeight="1" s="26">
      <c r="A94" t="inlineStr">
        <is>
          <t>A077</t>
        </is>
      </c>
      <c r="B94" t="inlineStr">
        <is>
          <t>⬜</t>
        </is>
      </c>
      <c r="C94" s="39" t="n">
        <v>88</v>
      </c>
      <c r="D94" s="40" t="inlineStr">
        <is>
          <t>紅葉の色</t>
        </is>
      </c>
      <c r="E94" s="40" t="inlineStr">
        <is>
          <t>红叶的颜色</t>
        </is>
      </c>
      <c r="F94" s="39" t="inlineStr">
        <is>
          <t>II 感知期</t>
        </is>
      </c>
      <c r="G94" s="41" t="inlineStr">
        <is>
          <t>外延单元</t>
        </is>
      </c>
      <c r="H94" s="40" t="inlineStr">
        <is>
          <t>季节特别·生物</t>
        </is>
      </c>
      <c r="I94" s="39" t="inlineStr">
        <is>
          <t>11月</t>
        </is>
      </c>
      <c r="J94" s="40" t="inlineStr">
        <is>
          <t>珣·理紗</t>
        </is>
      </c>
      <c r="K94" s="40" t="inlineStr">
        <is>
          <t>光·慧美·志郎·珣·理紗·中谷（+瑆 笔记）</t>
        </is>
      </c>
      <c r="L94" s="40" t="inlineStr">
        <is>
          <t>生物</t>
        </is>
      </c>
      <c r="M94" s="40" t="inlineStr">
        <is>
          <t>化学</t>
        </is>
      </c>
      <c r="N94" s="40" t="inlineStr">
        <is>
          <t>气象</t>
        </is>
      </c>
      <c r="O94" s="42" t="inlineStr">
        <is>
          <t>低温触发 + 光照影响 + 色素转换</t>
        </is>
      </c>
      <c r="P94" s="41" t="inlineStr">
        <is>
          <t>微观+感知</t>
        </is>
      </c>
      <c r="Q94" s="40" t="n"/>
      <c r="R94" s="39">
        <f>IF(COUNTIF($M$2:$M$101,M89)&gt;1,"⚠ 重复","唯一")</f>
        <v/>
      </c>
    </row>
    <row r="95" ht="29.85" customHeight="1" s="26">
      <c r="A95" t="inlineStr">
        <is>
          <t>A078</t>
        </is>
      </c>
      <c r="B95" t="inlineStr">
        <is>
          <t>⬜</t>
        </is>
      </c>
      <c r="C95" s="39" t="n">
        <v>89</v>
      </c>
      <c r="D95" s="40" t="inlineStr">
        <is>
          <t>古鏡の曇り</t>
        </is>
      </c>
      <c r="E95" s="40" t="inlineStr">
        <is>
          <t>古镜的雾面</t>
        </is>
      </c>
      <c r="F95" s="39" t="inlineStr">
        <is>
          <t>II 感知期</t>
        </is>
      </c>
      <c r="G95" s="41" t="inlineStr">
        <is>
          <t>外延单元</t>
        </is>
      </c>
      <c r="H95" s="40" t="inlineStr">
        <is>
          <t>社区·历史</t>
        </is>
      </c>
      <c r="I95" s="39" t="inlineStr">
        <is>
          <t>12月</t>
        </is>
      </c>
      <c r="J95" s="40" t="inlineStr">
        <is>
          <t>葛西·理紗</t>
        </is>
      </c>
      <c r="K95" s="40" t="inlineStr">
        <is>
          <t>光·慧美·志郎·珣·理紗·中谷·葛西（+瑆 笔记）</t>
        </is>
      </c>
      <c r="L95" s="40" t="inlineStr">
        <is>
          <t>化学</t>
        </is>
      </c>
      <c r="M95" s="40" t="inlineStr">
        <is>
          <t>光学</t>
        </is>
      </c>
      <c r="N95" s="40" t="inlineStr">
        <is>
          <t>历史</t>
        </is>
      </c>
      <c r="O95" s="42" t="inlineStr">
        <is>
          <t>反射率下降 + 抛光技艺 + 镜面氧化</t>
        </is>
      </c>
      <c r="P95" s="41" t="inlineStr">
        <is>
          <t>溯源+感知</t>
        </is>
      </c>
      <c r="Q95" s="40" t="n"/>
      <c r="R95" s="39">
        <f>IF(COUNTIF($M$2:$M$101,M90)&gt;1,"⚠ 重复","唯一")</f>
        <v/>
      </c>
    </row>
    <row r="96" ht="29.85" customHeight="1" s="26">
      <c r="A96" t="inlineStr">
        <is>
          <t>A079</t>
        </is>
      </c>
      <c r="B96" t="inlineStr">
        <is>
          <t>⬜ · ★收束2</t>
        </is>
      </c>
      <c r="C96" s="30" t="n">
        <v>90</v>
      </c>
      <c r="D96" s="31" t="inlineStr">
        <is>
          <t>除夜の鐘</t>
        </is>
      </c>
      <c r="E96" s="31" t="inlineStr">
        <is>
          <t>除夕的钟声</t>
        </is>
      </c>
      <c r="F96" s="30" t="inlineStr">
        <is>
          <t>II 感知期</t>
        </is>
      </c>
      <c r="G96" s="32" t="inlineStr">
        <is>
          <t>范式深化</t>
        </is>
      </c>
      <c r="H96" s="31" t="inlineStr">
        <is>
          <t>季节·长线</t>
        </is>
      </c>
      <c r="I96" s="30" t="inlineStr">
        <is>
          <t>1月除夕</t>
        </is>
      </c>
      <c r="J96" s="31" t="inlineStr">
        <is>
          <t>珣·葛西</t>
        </is>
      </c>
      <c r="K96" s="31" t="inlineStr">
        <is>
          <t>光·慧美·志郎·珣·理紗·中谷·葛西（+瑆 笔记）</t>
        </is>
      </c>
      <c r="L96" s="31" t="inlineStr">
        <is>
          <t>声学</t>
        </is>
      </c>
      <c r="M96" s="31" t="inlineStr">
        <is>
          <t>民俗</t>
        </is>
      </c>
      <c r="N96" s="31" t="inlineStr">
        <is>
          <t>气象</t>
        </is>
      </c>
      <c r="O96" s="33" t="inlineStr">
        <is>
          <t>大钟低频共振 + 民俗数理 + 远距传声衰减</t>
        </is>
      </c>
      <c r="P96" s="32" t="inlineStr">
        <is>
          <t>微观+溯源</t>
        </is>
      </c>
      <c r="Q96" s="31" t="inlineStr">
        <is>
          <t>长线收束点③(钟声线)</t>
        </is>
      </c>
      <c r="R96" s="30">
        <f>IF(COUNTIF($M$2:$M$101,M91)&gt;1,"⚠ 重复","唯一")</f>
        <v/>
      </c>
    </row>
    <row r="97" ht="29.85" customHeight="1" s="26">
      <c r="A97" t="inlineStr">
        <is>
          <t>A080</t>
        </is>
      </c>
      <c r="B97" t="inlineStr">
        <is>
          <t>⬜ · ★L03</t>
        </is>
      </c>
      <c r="C97" s="30" t="n">
        <v>91</v>
      </c>
      <c r="D97" s="31" t="inlineStr">
        <is>
          <t>古写真と今</t>
        </is>
      </c>
      <c r="E97" s="31" t="inlineStr">
        <is>
          <t>老照片与今天</t>
        </is>
      </c>
      <c r="F97" s="30" t="inlineStr">
        <is>
          <t>III 拓展期</t>
        </is>
      </c>
      <c r="G97" s="32" t="inlineStr">
        <is>
          <t>范式深化</t>
        </is>
      </c>
      <c r="H97" s="31" t="inlineStr">
        <is>
          <t>拓展·长线</t>
        </is>
      </c>
      <c r="I97" s="30" t="inlineStr">
        <is>
          <t>2月</t>
        </is>
      </c>
      <c r="J97" s="31" t="inlineStr">
        <is>
          <t>中谷·葛西·瑆</t>
        </is>
      </c>
      <c r="K97" s="31" t="inlineStr">
        <is>
          <t>光·慧美·志郎·珣·理紗·中谷·葛西（+瑆 主笔）</t>
        </is>
      </c>
      <c r="L97" s="31" t="inlineStr">
        <is>
          <t>光学</t>
        </is>
      </c>
      <c r="M97" s="31" t="inlineStr">
        <is>
          <t>历史</t>
        </is>
      </c>
      <c r="N97" s="31" t="inlineStr">
        <is>
          <t>几何</t>
        </is>
      </c>
      <c r="O97" s="33" t="inlineStr">
        <is>
          <t>城市变迁比对 + 拍摄方位推定 + 照片透视复原</t>
        </is>
      </c>
      <c r="P97" s="32" t="inlineStr">
        <is>
          <t>溯源+人际</t>
        </is>
      </c>
      <c r="Q97" s="31" t="inlineStr">
        <is>
          <t>长线收束点④(三线初汇)</t>
        </is>
      </c>
      <c r="R97" s="30">
        <f>IF(COUNTIF($M$2:$M$101,M92)&gt;1,"⚠ 重复","唯一")</f>
        <v/>
      </c>
    </row>
    <row r="98" ht="29.85" customHeight="1" s="26">
      <c r="A98" t="inlineStr">
        <is>
          <t>A081</t>
        </is>
      </c>
      <c r="B98" t="inlineStr">
        <is>
          <t>⬜</t>
        </is>
      </c>
      <c r="C98" s="43" t="n">
        <v>92</v>
      </c>
      <c r="D98" s="44" t="inlineStr">
        <is>
          <t>失われた水路</t>
        </is>
      </c>
      <c r="E98" s="44" t="inlineStr">
        <is>
          <t>消失的水渠</t>
        </is>
      </c>
      <c r="F98" s="43" t="inlineStr">
        <is>
          <t>III 拓展期</t>
        </is>
      </c>
      <c r="G98" s="45" t="inlineStr">
        <is>
          <t>外延单元</t>
        </is>
      </c>
      <c r="H98" s="44" t="inlineStr">
        <is>
          <t>拓展·历史复合</t>
        </is>
      </c>
      <c r="I98" s="43" t="inlineStr">
        <is>
          <t>3月</t>
        </is>
      </c>
      <c r="J98" s="44" t="inlineStr">
        <is>
          <t>志郎·葛西</t>
        </is>
      </c>
      <c r="K98" s="44" t="inlineStr">
        <is>
          <t>光·慧美·志郎·珣·理紗·中谷·葛西（+瑆 笔记）</t>
        </is>
      </c>
      <c r="L98" s="44" t="inlineStr">
        <is>
          <t>历史</t>
        </is>
      </c>
      <c r="M98" s="44" t="inlineStr">
        <is>
          <t>流体</t>
        </is>
      </c>
      <c r="N98" s="44" t="inlineStr">
        <is>
          <t>地理</t>
        </is>
      </c>
      <c r="O98" s="46" t="inlineStr">
        <is>
          <t>古水利图 + 地势流向 + 遗迹定位</t>
        </is>
      </c>
      <c r="P98" s="45" t="inlineStr">
        <is>
          <t>结构+溯源</t>
        </is>
      </c>
      <c r="Q98" s="44" t="n"/>
      <c r="R98" s="43">
        <f>IF(COUNTIF($M$2:$M$101,M93)&gt;1,"⚠ 重复","唯一")</f>
        <v/>
      </c>
    </row>
    <row r="99" ht="29.85" customHeight="1" s="26">
      <c r="A99" t="inlineStr">
        <is>
          <t>A082</t>
        </is>
      </c>
      <c r="B99" t="inlineStr">
        <is>
          <t>⬜</t>
        </is>
      </c>
      <c r="C99" s="43" t="n">
        <v>93</v>
      </c>
      <c r="D99" s="44" t="inlineStr">
        <is>
          <t>祭りの起源</t>
        </is>
      </c>
      <c r="E99" s="44" t="inlineStr">
        <is>
          <t>祭典的起源</t>
        </is>
      </c>
      <c r="F99" s="43" t="inlineStr">
        <is>
          <t>III 拓展期</t>
        </is>
      </c>
      <c r="G99" s="45" t="inlineStr">
        <is>
          <t>外延单元</t>
        </is>
      </c>
      <c r="H99" s="44" t="inlineStr">
        <is>
          <t>拓展·民俗复合</t>
        </is>
      </c>
      <c r="I99" s="43" t="inlineStr">
        <is>
          <t>4月</t>
        </is>
      </c>
      <c r="J99" s="44" t="inlineStr">
        <is>
          <t>瑆·珣</t>
        </is>
      </c>
      <c r="K99" s="44" t="inlineStr">
        <is>
          <t>光·慧美·志郎·珣·理紗·中谷（+瑆 笔记）</t>
        </is>
      </c>
      <c r="L99" s="44" t="inlineStr">
        <is>
          <t>生物</t>
        </is>
      </c>
      <c r="M99" s="44" t="inlineStr">
        <is>
          <t>天文</t>
        </is>
      </c>
      <c r="N99" s="44" t="inlineStr">
        <is>
          <t>民俗</t>
        </is>
      </c>
      <c r="O99" s="46" t="inlineStr">
        <is>
          <t>历法节气 + 口传演变 + 物候农时</t>
        </is>
      </c>
      <c r="P99" s="45" t="inlineStr">
        <is>
          <t>人际+微观</t>
        </is>
      </c>
      <c r="Q99" s="44" t="n"/>
      <c r="R99" s="43">
        <f>IF(COUNTIF($M$2:$M$101,M94)&gt;1,"⚠ 重复","唯一")</f>
        <v/>
      </c>
    </row>
    <row r="100" ht="29.85" customHeight="1" s="26">
      <c r="A100" t="inlineStr">
        <is>
          <t>A083</t>
        </is>
      </c>
      <c r="B100" t="inlineStr">
        <is>
          <t>⬜</t>
        </is>
      </c>
      <c r="C100" s="43" t="n">
        <v>94</v>
      </c>
      <c r="D100" s="44" t="inlineStr">
        <is>
          <t>古道の道標</t>
        </is>
      </c>
      <c r="E100" s="44" t="inlineStr">
        <is>
          <t>古道的路标石</t>
        </is>
      </c>
      <c r="F100" s="43" t="inlineStr">
        <is>
          <t>III 拓展期</t>
        </is>
      </c>
      <c r="G100" s="45" t="inlineStr">
        <is>
          <t>外延单元</t>
        </is>
      </c>
      <c r="H100" s="44" t="inlineStr">
        <is>
          <t>拓展·历史复合</t>
        </is>
      </c>
      <c r="I100" s="43" t="inlineStr">
        <is>
          <t>5月</t>
        </is>
      </c>
      <c r="J100" s="44" t="inlineStr">
        <is>
          <t>葛西·慧美</t>
        </is>
      </c>
      <c r="K100" s="44" t="inlineStr">
        <is>
          <t>光·慧美·志郎·珣·理紗·中谷·葛西（+瑆 笔记）</t>
        </is>
      </c>
      <c r="L100" s="44" t="inlineStr">
        <is>
          <t>地质</t>
        </is>
      </c>
      <c r="M100" s="44" t="inlineStr">
        <is>
          <t>历史</t>
        </is>
      </c>
      <c r="N100" s="44" t="inlineStr">
        <is>
          <t>民俗</t>
        </is>
      </c>
      <c r="O100" s="46" t="inlineStr">
        <is>
          <t>古道刻字识读 + 度量衡变迁 + 风化定年</t>
        </is>
      </c>
      <c r="P100" s="45" t="inlineStr">
        <is>
          <t>溯源+实验</t>
        </is>
      </c>
      <c r="Q100" s="44" t="n"/>
      <c r="R100" s="43">
        <f>IF(COUNTIF($M$2:$M$101,M95)&gt;1,"⚠ 重复","唯一")</f>
        <v/>
      </c>
    </row>
    <row r="101" ht="29.85" customHeight="1" s="26">
      <c r="A101" t="inlineStr">
        <is>
          <t>A084</t>
        </is>
      </c>
      <c r="B101" t="inlineStr">
        <is>
          <t>⬜</t>
        </is>
      </c>
      <c r="C101" s="43" t="n">
        <v>95</v>
      </c>
      <c r="D101" s="44" t="inlineStr">
        <is>
          <t>川の名前</t>
        </is>
      </c>
      <c r="E101" s="44" t="inlineStr">
        <is>
          <t>河川名字之谜</t>
        </is>
      </c>
      <c r="F101" s="43" t="inlineStr">
        <is>
          <t>III 拓展期</t>
        </is>
      </c>
      <c r="G101" s="45" t="inlineStr">
        <is>
          <t>外延单元</t>
        </is>
      </c>
      <c r="H101" s="44" t="inlineStr">
        <is>
          <t>拓展·语言地理</t>
        </is>
      </c>
      <c r="I101" s="43" t="inlineStr">
        <is>
          <t>6月</t>
        </is>
      </c>
      <c r="J101" s="44" t="inlineStr">
        <is>
          <t>瑆·葛西</t>
        </is>
      </c>
      <c r="K101" s="44" t="inlineStr">
        <is>
          <t>光·慧美·志郎·珣·理紗·中谷·葛西（+瑆 笔记）</t>
        </is>
      </c>
      <c r="L101" s="44" t="inlineStr">
        <is>
          <t>民俗</t>
        </is>
      </c>
      <c r="M101" s="44" t="inlineStr">
        <is>
          <t>地理</t>
        </is>
      </c>
      <c r="N101" s="44" t="inlineStr">
        <is>
          <t>地质</t>
        </is>
      </c>
      <c r="O101" s="46" t="inlineStr">
        <is>
          <t>地名语源 + 地形对应 + 河道变迁</t>
        </is>
      </c>
      <c r="P101" s="45" t="inlineStr">
        <is>
          <t>人际+溯源</t>
        </is>
      </c>
      <c r="Q101" s="44" t="n"/>
      <c r="R101" s="43">
        <f>IF(COUNTIF($M$2:$M$101,M96)&gt;1,"⚠ 重复","唯一")</f>
        <v/>
      </c>
    </row>
    <row r="102">
      <c r="A102" t="inlineStr">
        <is>
          <t>A085</t>
        </is>
      </c>
      <c r="B102" t="inlineStr">
        <is>
          <t>⬜</t>
        </is>
      </c>
      <c r="C102" s="43" t="n">
        <v>96</v>
      </c>
      <c r="D102" s="44" t="inlineStr">
        <is>
          <t>古い橋</t>
        </is>
      </c>
      <c r="E102" s="44" t="inlineStr">
        <is>
          <t>老桥的力学</t>
        </is>
      </c>
      <c r="F102" s="43" t="inlineStr">
        <is>
          <t>III 拓展期</t>
        </is>
      </c>
      <c r="G102" s="45" t="inlineStr">
        <is>
          <t>外延单元</t>
        </is>
      </c>
      <c r="H102" s="44" t="inlineStr">
        <is>
          <t>拓展·结构复合</t>
        </is>
      </c>
      <c r="I102" s="43" t="inlineStr">
        <is>
          <t>7月</t>
        </is>
      </c>
      <c r="J102" s="44" t="inlineStr">
        <is>
          <t>志郎</t>
        </is>
      </c>
      <c r="K102" s="44" t="inlineStr">
        <is>
          <t>光·慧美·志郎·珣·理紗·中谷（+瑆 笔记）</t>
        </is>
      </c>
      <c r="L102" s="44" t="inlineStr">
        <is>
          <t>力学</t>
        </is>
      </c>
      <c r="M102" s="44" t="inlineStr">
        <is>
          <t>材料</t>
        </is>
      </c>
      <c r="N102" s="44" t="inlineStr">
        <is>
          <t>地质</t>
        </is>
      </c>
      <c r="O102" s="46" t="inlineStr">
        <is>
          <t>拱桥推力 + 百年沉降 + 石材抗压</t>
        </is>
      </c>
      <c r="P102" s="45" t="inlineStr">
        <is>
          <t>结构还原</t>
        </is>
      </c>
      <c r="Q102" s="44" t="n"/>
      <c r="R102" s="43">
        <f>IF(COUNTIF($M$2:$M$101,M97)&gt;1,"⚠ 重复","唯一")</f>
        <v/>
      </c>
    </row>
    <row r="103">
      <c r="A103" t="inlineStr">
        <is>
          <t>A086</t>
        </is>
      </c>
      <c r="B103" t="inlineStr">
        <is>
          <t>⬜</t>
        </is>
      </c>
      <c r="C103" s="43" t="n">
        <v>97</v>
      </c>
      <c r="D103" s="44" t="inlineStr">
        <is>
          <t>古星図</t>
        </is>
      </c>
      <c r="E103" s="44" t="inlineStr">
        <is>
          <t>古星图与夜空</t>
        </is>
      </c>
      <c r="F103" s="43" t="inlineStr">
        <is>
          <t>III 拓展期</t>
        </is>
      </c>
      <c r="G103" s="45" t="inlineStr">
        <is>
          <t>外延单元</t>
        </is>
      </c>
      <c r="H103" s="44" t="inlineStr">
        <is>
          <t>拓展·天文复合</t>
        </is>
      </c>
      <c r="I103" s="43" t="inlineStr">
        <is>
          <t>9月</t>
        </is>
      </c>
      <c r="J103" s="44" t="inlineStr">
        <is>
          <t>珣·慧美</t>
        </is>
      </c>
      <c r="K103" s="44" t="inlineStr">
        <is>
          <t>光·慧美·志郎·珣·理紗·中谷（+瑆 笔记）</t>
        </is>
      </c>
      <c r="L103" s="44" t="inlineStr">
        <is>
          <t>天文</t>
        </is>
      </c>
      <c r="M103" s="44" t="inlineStr">
        <is>
          <t>历史</t>
        </is>
      </c>
      <c r="N103" s="44" t="inlineStr">
        <is>
          <t>气象</t>
        </is>
      </c>
      <c r="O103" s="46" t="inlineStr">
        <is>
          <t>古图坐标 + 大气消光 + 岁差星移</t>
        </is>
      </c>
      <c r="P103" s="45" t="inlineStr">
        <is>
          <t>微观+实验</t>
        </is>
      </c>
      <c r="Q103" s="44" t="n"/>
      <c r="R103" s="43">
        <f>IF(COUNTIF($M$2:$M$101,M98)&gt;1,"⚠ 重复","唯一")</f>
        <v/>
      </c>
    </row>
    <row r="104">
      <c r="A104" t="inlineStr">
        <is>
          <t>A087</t>
        </is>
      </c>
      <c r="B104" t="inlineStr">
        <is>
          <t>⬜</t>
        </is>
      </c>
      <c r="C104" s="43" t="n">
        <v>98</v>
      </c>
      <c r="D104" s="44" t="inlineStr">
        <is>
          <t>消えた職人技</t>
        </is>
      </c>
      <c r="E104" s="44" t="inlineStr">
        <is>
          <t>消失的手艺</t>
        </is>
      </c>
      <c r="F104" s="43" t="inlineStr">
        <is>
          <t>III 拓展期</t>
        </is>
      </c>
      <c r="G104" s="45" t="inlineStr">
        <is>
          <t>外延单元</t>
        </is>
      </c>
      <c r="H104" s="44" t="inlineStr">
        <is>
          <t>拓展·工艺复合</t>
        </is>
      </c>
      <c r="I104" s="43" t="inlineStr">
        <is>
          <t>10月</t>
        </is>
      </c>
      <c r="J104" s="44" t="inlineStr">
        <is>
          <t>慧美·葛西</t>
        </is>
      </c>
      <c r="K104" s="44" t="inlineStr">
        <is>
          <t>光·慧美·志郎·珣·理紗·中谷·葛西（+瑆 笔记）</t>
        </is>
      </c>
      <c r="L104" s="44" t="inlineStr">
        <is>
          <t>化学</t>
        </is>
      </c>
      <c r="M104" s="44" t="inlineStr">
        <is>
          <t>材料</t>
        </is>
      </c>
      <c r="N104" s="44" t="inlineStr">
        <is>
          <t>历史</t>
        </is>
      </c>
      <c r="O104" s="46" t="inlineStr">
        <is>
          <t>口述史 + 工具痕迹 + 配方逆推</t>
        </is>
      </c>
      <c r="P104" s="45" t="inlineStr">
        <is>
          <t>实验+溯源</t>
        </is>
      </c>
      <c r="Q104" s="44" t="n"/>
      <c r="R104" s="43">
        <f>IF(COUNTIF($M$2:$M$101,M99)&gt;1,"⚠ 重复","唯一")</f>
        <v/>
      </c>
    </row>
    <row r="105">
      <c r="A105" t="inlineStr">
        <is>
          <t>A088</t>
        </is>
      </c>
      <c r="B105" t="inlineStr">
        <is>
          <t>⬜</t>
        </is>
      </c>
      <c r="C105" s="43" t="n">
        <v>99</v>
      </c>
      <c r="D105" s="44" t="inlineStr">
        <is>
          <t>街の音風景</t>
        </is>
      </c>
      <c r="E105" s="44" t="inlineStr">
        <is>
          <t>城市的声音地景</t>
        </is>
      </c>
      <c r="F105" s="43" t="inlineStr">
        <is>
          <t>III 拓展期</t>
        </is>
      </c>
      <c r="G105" s="45" t="inlineStr">
        <is>
          <t>外延单元</t>
        </is>
      </c>
      <c r="H105" s="44" t="inlineStr">
        <is>
          <t>拓展·声学复合</t>
        </is>
      </c>
      <c r="I105" s="43" t="inlineStr">
        <is>
          <t>11月</t>
        </is>
      </c>
      <c r="J105" s="44" t="inlineStr">
        <is>
          <t>中谷·珣</t>
        </is>
      </c>
      <c r="K105" s="44" t="inlineStr">
        <is>
          <t>光·慧美·志郎·珣·理紗·中谷（+瑆 笔记）</t>
        </is>
      </c>
      <c r="L105" s="44" t="inlineStr">
        <is>
          <t>声学</t>
        </is>
      </c>
      <c r="M105" s="44" t="inlineStr">
        <is>
          <t>建筑</t>
        </is>
      </c>
      <c r="N105" s="44" t="inlineStr">
        <is>
          <t>历史</t>
        </is>
      </c>
      <c r="O105" s="46" t="inlineStr">
        <is>
          <t>声景变迁 + 多普勒频移 + 建筑混响</t>
        </is>
      </c>
      <c r="P105" s="45" t="inlineStr">
        <is>
          <t>微观+人际</t>
        </is>
      </c>
      <c r="Q105" s="44" t="n"/>
      <c r="R105" s="43">
        <f>IF(COUNTIF($M$2:$M$101,M100)&gt;1,"⚠ 重复","唯一")</f>
        <v/>
      </c>
    </row>
    <row r="106">
      <c r="A106" t="inlineStr">
        <is>
          <t>D001</t>
        </is>
      </c>
      <c r="B106" t="inlineStr">
        <is>
          <t>⬜ · PREVIEW_D</t>
        </is>
      </c>
      <c r="C106" s="30" t="n">
        <v>100</v>
      </c>
      <c r="D106" s="31" t="inlineStr">
        <is>
          <t>観察社の十年後</t>
        </is>
      </c>
      <c r="E106" s="31" t="inlineStr">
        <is>
          <t>观察社的十年后</t>
        </is>
      </c>
      <c r="F106" s="30" t="inlineStr">
        <is>
          <t>III 拓展期</t>
        </is>
      </c>
      <c r="G106" s="32" t="inlineStr">
        <is>
          <t>范式深化</t>
        </is>
      </c>
      <c r="H106" s="31" t="inlineStr">
        <is>
          <t>拓展·重返预告</t>
        </is>
      </c>
      <c r="I106" s="30" t="inlineStr">
        <is>
          <t>12月</t>
        </is>
      </c>
      <c r="J106" s="31" t="inlineStr">
        <is>
          <t>瑆·光</t>
        </is>
      </c>
      <c r="K106" s="31" t="inlineStr">
        <is>
          <t>光·慧美·志郎·珣·理紗·中谷（+瑆 主笔）</t>
        </is>
      </c>
      <c r="L106" s="31" t="inlineStr">
        <is>
          <t>气象</t>
        </is>
      </c>
      <c r="M106" s="31" t="inlineStr">
        <is>
          <t>建筑</t>
        </is>
      </c>
      <c r="N106" s="31" t="inlineStr">
        <is>
          <t>数学</t>
        </is>
      </c>
      <c r="O106" s="33" t="inlineStr">
        <is>
          <t>气候露点变化 + 热桥效应 + 长期数据对比</t>
        </is>
      </c>
      <c r="P106" s="32" t="inlineStr">
        <is>
          <t>系统+人际</t>
        </is>
      </c>
      <c r="Q106" s="31" t="inlineStr">
        <is>
          <t>重返预告(回望案①)</t>
        </is>
      </c>
      <c r="R106" s="30">
        <f>IF(COUNTIF($M$2:$M$101,M101)&gt;1,"⚠ 重复","唯一")</f>
        <v/>
      </c>
    </row>
  </sheetData>
  <autoFilter ref="A1:P1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8" customWidth="1" style="25" min="2" max="2"/>
    <col width="10" customWidth="1" style="25" min="3" max="3"/>
    <col width="40" customWidth="1" style="25" min="4" max="4"/>
  </cols>
  <sheetData>
    <row r="1" ht="15" customHeight="1" s="26">
      <c r="A1" s="28" t="inlineStr">
        <is>
          <t>知识域</t>
        </is>
      </c>
      <c r="B1" s="28" t="inlineStr">
        <is>
          <t>前100篇出现次数</t>
        </is>
      </c>
      <c r="C1" s="28" t="inlineStr">
        <is>
          <t>占比</t>
        </is>
      </c>
      <c r="D1" s="28" t="inlineStr">
        <is>
          <t>说明</t>
        </is>
      </c>
    </row>
    <row r="2" ht="15" customHeight="1" s="26">
      <c r="A2" s="36" t="inlineStr">
        <is>
          <t>人体</t>
        </is>
      </c>
      <c r="B2" s="35">
        <f>COUNTIF(前100篇台账!$J$2:$L$101,A2)</f>
        <v/>
      </c>
      <c r="C2" s="47">
        <f>B2/300</f>
        <v/>
      </c>
      <c r="D2" s="36" t="inlineStr">
        <is>
          <t>组合层去重；单域可在不同三元组中复现</t>
        </is>
      </c>
    </row>
    <row r="3" ht="15" customHeight="1" s="26">
      <c r="A3" s="36" t="inlineStr">
        <is>
          <t>光学</t>
        </is>
      </c>
      <c r="B3" s="35">
        <f>COUNTIF(前100篇台账!$J$2:$L$101,A3)</f>
        <v/>
      </c>
      <c r="C3" s="47">
        <f>B3/300</f>
        <v/>
      </c>
      <c r="D3" s="36" t="inlineStr">
        <is>
          <t>组合层去重；单域可在不同三元组中复现</t>
        </is>
      </c>
    </row>
    <row r="4" ht="15" customHeight="1" s="26">
      <c r="A4" s="36" t="inlineStr">
        <is>
          <t>几何</t>
        </is>
      </c>
      <c r="B4" s="35">
        <f>COUNTIF(前100篇台账!$J$2:$L$101,A4)</f>
        <v/>
      </c>
      <c r="C4" s="47">
        <f>B4/300</f>
        <v/>
      </c>
      <c r="D4" s="36" t="inlineStr">
        <is>
          <t>组合层去重；单域可在不同三元组中复现</t>
        </is>
      </c>
    </row>
    <row r="5" ht="15" customHeight="1" s="26">
      <c r="A5" s="36" t="inlineStr">
        <is>
          <t>力学</t>
        </is>
      </c>
      <c r="B5" s="35">
        <f>COUNTIF(前100篇台账!$J$2:$L$101,A5)</f>
        <v/>
      </c>
      <c r="C5" s="47">
        <f>B5/300</f>
        <v/>
      </c>
      <c r="D5" s="36" t="inlineStr">
        <is>
          <t>组合层去重；单域可在不同三元组中复现</t>
        </is>
      </c>
    </row>
    <row r="6" ht="15" customHeight="1" s="26">
      <c r="A6" s="36" t="inlineStr">
        <is>
          <t>动物</t>
        </is>
      </c>
      <c r="B6" s="35">
        <f>COUNTIF(前100篇台账!$J$2:$L$101,A6)</f>
        <v/>
      </c>
      <c r="C6" s="47">
        <f>B6/300</f>
        <v/>
      </c>
      <c r="D6" s="36" t="inlineStr">
        <is>
          <t>组合层去重；单域可在不同三元组中复现</t>
        </is>
      </c>
    </row>
    <row r="7" ht="15" customHeight="1" s="26">
      <c r="A7" s="36" t="inlineStr">
        <is>
          <t>化学</t>
        </is>
      </c>
      <c r="B7" s="35">
        <f>COUNTIF(前100篇台账!$J$2:$L$101,A7)</f>
        <v/>
      </c>
      <c r="C7" s="47">
        <f>B7/300</f>
        <v/>
      </c>
      <c r="D7" s="36" t="inlineStr">
        <is>
          <t>组合层去重；单域可在不同三元组中复现</t>
        </is>
      </c>
    </row>
    <row r="8" ht="15" customHeight="1" s="26">
      <c r="A8" s="36" t="inlineStr">
        <is>
          <t>历史</t>
        </is>
      </c>
      <c r="B8" s="35">
        <f>COUNTIF(前100篇台账!$J$2:$L$101,A8)</f>
        <v/>
      </c>
      <c r="C8" s="47">
        <f>B8/300</f>
        <v/>
      </c>
      <c r="D8" s="36" t="inlineStr">
        <is>
          <t>组合层去重；单域可在不同三元组中复现</t>
        </is>
      </c>
    </row>
    <row r="9" ht="15" customHeight="1" s="26">
      <c r="A9" s="36" t="inlineStr">
        <is>
          <t>图书馆学</t>
        </is>
      </c>
      <c r="B9" s="35">
        <f>COUNTIF(前100篇台账!$J$2:$L$101,A9)</f>
        <v/>
      </c>
      <c r="C9" s="47">
        <f>B9/300</f>
        <v/>
      </c>
      <c r="D9" s="36" t="inlineStr">
        <is>
          <t>组合层去重；单域可在不同三元组中复现</t>
        </is>
      </c>
    </row>
    <row r="10" ht="15" customHeight="1" s="26">
      <c r="A10" s="36" t="inlineStr">
        <is>
          <t>地理</t>
        </is>
      </c>
      <c r="B10" s="35">
        <f>COUNTIF(前100篇台账!$J$2:$L$101,A10)</f>
        <v/>
      </c>
      <c r="C10" s="47">
        <f>B10/300</f>
        <v/>
      </c>
      <c r="D10" s="36" t="inlineStr">
        <is>
          <t>组合层去重；单域可在不同三元组中复现</t>
        </is>
      </c>
    </row>
    <row r="11" ht="15" customHeight="1" s="26">
      <c r="A11" s="36" t="inlineStr">
        <is>
          <t>地质</t>
        </is>
      </c>
      <c r="B11" s="35">
        <f>COUNTIF(前100篇台账!$J$2:$L$101,A11)</f>
        <v/>
      </c>
      <c r="C11" s="47">
        <f>B11/300</f>
        <v/>
      </c>
      <c r="D11" s="36" t="inlineStr">
        <is>
          <t>组合层去重；单域可在不同三元组中复现</t>
        </is>
      </c>
    </row>
    <row r="12" ht="15" customHeight="1" s="26">
      <c r="A12" s="36" t="inlineStr">
        <is>
          <t>声学</t>
        </is>
      </c>
      <c r="B12" s="35">
        <f>COUNTIF(前100篇台账!$J$2:$L$101,A12)</f>
        <v/>
      </c>
      <c r="C12" s="47">
        <f>B12/300</f>
        <v/>
      </c>
      <c r="D12" s="36" t="inlineStr">
        <is>
          <t>组合层去重；单域可在不同三元组中复现</t>
        </is>
      </c>
    </row>
    <row r="13" ht="15" customHeight="1" s="26">
      <c r="A13" s="36" t="inlineStr">
        <is>
          <t>天文</t>
        </is>
      </c>
      <c r="B13" s="35">
        <f>COUNTIF(前100篇台账!$J$2:$L$101,A13)</f>
        <v/>
      </c>
      <c r="C13" s="47">
        <f>B13/300</f>
        <v/>
      </c>
      <c r="D13" s="36" t="inlineStr">
        <is>
          <t>组合层去重；单域可在不同三元组中复现</t>
        </is>
      </c>
    </row>
    <row r="14" ht="15" customHeight="1" s="26">
      <c r="A14" s="36" t="inlineStr">
        <is>
          <t>实验方法</t>
        </is>
      </c>
      <c r="B14" s="35">
        <f>COUNTIF(前100篇台账!$J$2:$L$101,A14)</f>
        <v/>
      </c>
      <c r="C14" s="47">
        <f>B14/300</f>
        <v/>
      </c>
      <c r="D14" s="36" t="inlineStr">
        <is>
          <t>组合层去重；单域可在不同三元组中复现</t>
        </is>
      </c>
    </row>
    <row r="15" ht="15" customHeight="1" s="26">
      <c r="A15" s="36" t="inlineStr">
        <is>
          <t>工程</t>
        </is>
      </c>
      <c r="B15" s="35">
        <f>COUNTIF(前100篇台账!$J$2:$L$101,A15)</f>
        <v/>
      </c>
      <c r="C15" s="47">
        <f>B15/300</f>
        <v/>
      </c>
      <c r="D15" s="36" t="inlineStr">
        <is>
          <t>组合层去重；单域可在不同三元组中复现</t>
        </is>
      </c>
    </row>
    <row r="16" ht="15" customHeight="1" s="26">
      <c r="A16" s="36" t="inlineStr">
        <is>
          <t>建筑</t>
        </is>
      </c>
      <c r="B16" s="35">
        <f>COUNTIF(前100篇台账!$J$2:$L$101,A16)</f>
        <v/>
      </c>
      <c r="C16" s="47">
        <f>B16/300</f>
        <v/>
      </c>
      <c r="D16" s="36" t="inlineStr">
        <is>
          <t>组合层去重；单域可在不同三元组中复现</t>
        </is>
      </c>
    </row>
    <row r="17" ht="15" customHeight="1" s="26">
      <c r="A17" s="36" t="inlineStr">
        <is>
          <t>微生物</t>
        </is>
      </c>
      <c r="B17" s="35">
        <f>COUNTIF(前100篇台账!$J$2:$L$101,A17)</f>
        <v/>
      </c>
      <c r="C17" s="47">
        <f>B17/300</f>
        <v/>
      </c>
      <c r="D17" s="36" t="inlineStr">
        <is>
          <t>组合层去重；单域可在不同三元组中复现</t>
        </is>
      </c>
    </row>
    <row r="18" ht="15" customHeight="1" s="26">
      <c r="A18" s="36" t="inlineStr">
        <is>
          <t>心理</t>
        </is>
      </c>
      <c r="B18" s="35">
        <f>COUNTIF(前100篇台账!$J$2:$L$101,A18)</f>
        <v/>
      </c>
      <c r="C18" s="47">
        <f>B18/300</f>
        <v/>
      </c>
      <c r="D18" s="36" t="inlineStr">
        <is>
          <t>组合层去重；单域可在不同三元组中复现</t>
        </is>
      </c>
    </row>
    <row r="19" ht="15" customHeight="1" s="26">
      <c r="A19" s="36" t="inlineStr">
        <is>
          <t>感知</t>
        </is>
      </c>
      <c r="B19" s="35">
        <f>COUNTIF(前100篇台账!$J$2:$L$101,A19)</f>
        <v/>
      </c>
      <c r="C19" s="47">
        <f>B19/300</f>
        <v/>
      </c>
      <c r="D19" s="36" t="inlineStr">
        <is>
          <t>组合层去重；单域可在不同三元组中复现</t>
        </is>
      </c>
    </row>
    <row r="20" ht="15" customHeight="1" s="26">
      <c r="A20" s="36" t="inlineStr">
        <is>
          <t>数学</t>
        </is>
      </c>
      <c r="B20" s="35">
        <f>COUNTIF(前100篇台账!$J$2:$L$101,A20)</f>
        <v/>
      </c>
      <c r="C20" s="47">
        <f>B20/300</f>
        <v/>
      </c>
      <c r="D20" s="36" t="inlineStr">
        <is>
          <t>组合层去重；单域可在不同三元组中复现</t>
        </is>
      </c>
    </row>
    <row r="21" ht="15" customHeight="1" s="26">
      <c r="A21" s="36" t="inlineStr">
        <is>
          <t>材料</t>
        </is>
      </c>
      <c r="B21" s="35">
        <f>COUNTIF(前100篇台账!$J$2:$L$101,A21)</f>
        <v/>
      </c>
      <c r="C21" s="47">
        <f>B21/300</f>
        <v/>
      </c>
      <c r="D21" s="36" t="inlineStr">
        <is>
          <t>组合层去重；单域可在不同三元组中复现</t>
        </is>
      </c>
    </row>
    <row r="22" ht="15" customHeight="1" s="26">
      <c r="A22" s="36" t="inlineStr">
        <is>
          <t>植物</t>
        </is>
      </c>
      <c r="B22" s="35">
        <f>COUNTIF(前100篇台账!$J$2:$L$101,A22)</f>
        <v/>
      </c>
      <c r="C22" s="47">
        <f>B22/300</f>
        <v/>
      </c>
      <c r="D22" s="36" t="inlineStr">
        <is>
          <t>组合层去重；单域可在不同三元组中复现</t>
        </is>
      </c>
    </row>
    <row r="23" ht="15" customHeight="1" s="26">
      <c r="A23" s="36" t="inlineStr">
        <is>
          <t>民俗</t>
        </is>
      </c>
      <c r="B23" s="35">
        <f>COUNTIF(前100篇台账!$J$2:$L$101,A23)</f>
        <v/>
      </c>
      <c r="C23" s="47">
        <f>B23/300</f>
        <v/>
      </c>
      <c r="D23" s="36" t="inlineStr">
        <is>
          <t>组合层去重；单域可在不同三元组中复现</t>
        </is>
      </c>
    </row>
    <row r="24" ht="15" customHeight="1" s="26">
      <c r="A24" s="36" t="inlineStr">
        <is>
          <t>气象</t>
        </is>
      </c>
      <c r="B24" s="35">
        <f>COUNTIF(前100篇台账!$J$2:$L$101,A24)</f>
        <v/>
      </c>
      <c r="C24" s="47">
        <f>B24/300</f>
        <v/>
      </c>
      <c r="D24" s="36" t="inlineStr">
        <is>
          <t>组合层去重；单域可在不同三元组中复现</t>
        </is>
      </c>
    </row>
    <row r="25" ht="15" customHeight="1" s="26">
      <c r="A25" s="36" t="inlineStr">
        <is>
          <t>流体</t>
        </is>
      </c>
      <c r="B25" s="35">
        <f>COUNTIF(前100篇台账!$J$2:$L$101,A25)</f>
        <v/>
      </c>
      <c r="C25" s="47">
        <f>B25/300</f>
        <v/>
      </c>
      <c r="D25" s="36" t="inlineStr">
        <is>
          <t>组合层去重；单域可在不同三元组中复现</t>
        </is>
      </c>
    </row>
    <row r="26" ht="15" customHeight="1" s="26">
      <c r="A26" s="36" t="inlineStr">
        <is>
          <t>热传导</t>
        </is>
      </c>
      <c r="B26" s="35">
        <f>COUNTIF(前100篇台账!$J$2:$L$101,A26)</f>
        <v/>
      </c>
      <c r="C26" s="47">
        <f>B26/300</f>
        <v/>
      </c>
      <c r="D26" s="36" t="inlineStr">
        <is>
          <t>组合层去重；单域可在不同三元组中复现</t>
        </is>
      </c>
    </row>
    <row r="27" ht="15" customHeight="1" s="26">
      <c r="A27" s="36" t="inlineStr">
        <is>
          <t>热学</t>
        </is>
      </c>
      <c r="B27" s="35">
        <f>COUNTIF(前100篇台账!$J$2:$L$101,A27)</f>
        <v/>
      </c>
      <c r="C27" s="47">
        <f>B27/300</f>
        <v/>
      </c>
      <c r="D27" s="36" t="inlineStr">
        <is>
          <t>组合层去重；单域可在不同三元组中复现</t>
        </is>
      </c>
    </row>
    <row r="28" ht="15" customHeight="1" s="26">
      <c r="A28" s="36" t="inlineStr">
        <is>
          <t>物态</t>
        </is>
      </c>
      <c r="B28" s="35">
        <f>COUNTIF(前100篇台账!$J$2:$L$101,A28)</f>
        <v/>
      </c>
      <c r="C28" s="47">
        <f>B28/300</f>
        <v/>
      </c>
      <c r="D28" s="36" t="inlineStr">
        <is>
          <t>组合层去重；单域可在不同三元组中复现</t>
        </is>
      </c>
    </row>
    <row r="29" ht="15" customHeight="1" s="26">
      <c r="A29" s="36" t="inlineStr">
        <is>
          <t>物理</t>
        </is>
      </c>
      <c r="B29" s="35">
        <f>COUNTIF(前100篇台账!$J$2:$L$101,A29)</f>
        <v/>
      </c>
      <c r="C29" s="47">
        <f>B29/300</f>
        <v/>
      </c>
      <c r="D29" s="36" t="inlineStr">
        <is>
          <t>组合层去重；单域可在不同三元组中复现</t>
        </is>
      </c>
    </row>
    <row r="30" ht="15" customHeight="1" s="26">
      <c r="A30" s="36" t="inlineStr">
        <is>
          <t>生物</t>
        </is>
      </c>
      <c r="B30" s="35">
        <f>COUNTIF(前100篇台账!$J$2:$L$101,A30)</f>
        <v/>
      </c>
      <c r="C30" s="47">
        <f>B30/300</f>
        <v/>
      </c>
      <c r="D30" s="36" t="inlineStr">
        <is>
          <t>组合层去重；单域可在不同三元组中复现</t>
        </is>
      </c>
    </row>
    <row r="31" ht="15" customHeight="1" s="26">
      <c r="A31" s="36" t="inlineStr">
        <is>
          <t>电子</t>
        </is>
      </c>
      <c r="B31" s="35">
        <f>COUNTIF(前100篇台账!$J$2:$L$101,A31)</f>
        <v/>
      </c>
      <c r="C31" s="47">
        <f>B31/300</f>
        <v/>
      </c>
      <c r="D31" s="36" t="inlineStr">
        <is>
          <t>组合层去重；单域可在不同三元组中复现</t>
        </is>
      </c>
    </row>
    <row r="32" ht="15" customHeight="1" s="26">
      <c r="A32" s="36" t="inlineStr">
        <is>
          <t>电磁</t>
        </is>
      </c>
      <c r="B32" s="35">
        <f>COUNTIF(前100篇台账!$J$2:$L$101,A32)</f>
        <v/>
      </c>
      <c r="C32" s="47">
        <f>B32/300</f>
        <v/>
      </c>
      <c r="D32" s="36" t="inlineStr">
        <is>
          <t>组合层去重；单域可在不同三元组中复现</t>
        </is>
      </c>
    </row>
    <row r="33" ht="15" customHeight="1" s="26">
      <c r="A33" s="36" t="inlineStr">
        <is>
          <t>色彩</t>
        </is>
      </c>
      <c r="B33" s="35">
        <f>COUNTIF(前100篇台账!$J$2:$L$101,A33)</f>
        <v/>
      </c>
      <c r="C33" s="47">
        <f>B33/300</f>
        <v/>
      </c>
      <c r="D33" s="36" t="inlineStr">
        <is>
          <t>组合层去重；单域可在不同三元组中复现</t>
        </is>
      </c>
    </row>
    <row r="34" ht="15" customHeight="1" s="26">
      <c r="A34" s="36" t="inlineStr">
        <is>
          <t>行为</t>
        </is>
      </c>
      <c r="B34" s="35">
        <f>COUNTIF(前100篇台账!$J$2:$L$101,A34)</f>
        <v/>
      </c>
      <c r="C34" s="47">
        <f>B34/300</f>
        <v/>
      </c>
      <c r="D34" s="36" t="inlineStr">
        <is>
          <t>组合层去重；单域可在不同三元组中复现</t>
        </is>
      </c>
    </row>
    <row r="35" ht="15" customHeight="1" s="26">
      <c r="A35" s="36" t="inlineStr">
        <is>
          <t>逻辑</t>
        </is>
      </c>
      <c r="B35" s="35">
        <f>COUNTIF(前100篇台账!$J$2:$L$101,A35)</f>
        <v/>
      </c>
      <c r="C35" s="47">
        <f>B35/300</f>
        <v/>
      </c>
      <c r="D35" s="36" t="inlineStr">
        <is>
          <t>组合层去重；单域可在不同三元组中复现</t>
        </is>
      </c>
    </row>
    <row r="36" ht="15" customHeight="1" s="26">
      <c r="A36" s="36" t="inlineStr">
        <is>
          <t>音乐</t>
        </is>
      </c>
      <c r="B36" s="35">
        <f>COUNTIF(前100篇台账!$J$2:$L$101,A36)</f>
        <v/>
      </c>
      <c r="C36" s="47">
        <f>B36/300</f>
        <v/>
      </c>
      <c r="D36" s="36" t="inlineStr">
        <is>
          <t>组合层去重；单域可在不同三元组中复现</t>
        </is>
      </c>
    </row>
    <row r="37" ht="15" customHeight="1" s="26">
      <c r="A37" s="36" t="inlineStr">
        <is>
          <t>食品化学</t>
        </is>
      </c>
      <c r="B37" s="35">
        <f>COUNTIF(前100篇台账!$J$2:$L$101,A37)</f>
        <v/>
      </c>
      <c r="C37" s="47">
        <f>B37/300</f>
        <v/>
      </c>
      <c r="D37" s="36" t="inlineStr">
        <is>
          <t>组合层去重；单域可在不同三元组中复现</t>
        </is>
      </c>
    </row>
    <row r="38" ht="15" customHeight="1" s="26">
      <c r="A38" s="48" t="inlineStr">
        <is>
          <t>合计（应=300）</t>
        </is>
      </c>
      <c r="B38" s="48">
        <f>SUM(B2:B37)</f>
        <v/>
      </c>
      <c r="C38" s="49" t="n"/>
      <c r="D38" s="4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4" customWidth="1" style="25" min="1" max="1"/>
  </cols>
  <sheetData>
    <row r="1" ht="19.4" customHeight="1" s="26">
      <c r="A1" s="50" t="inlineStr">
        <is>
          <t>《学堂奇事録》· 前100篇原理去重台账</t>
        </is>
      </c>
    </row>
    <row r="2" ht="15" customHeight="1" s="26">
      <c r="A2" s="51" t="n"/>
    </row>
    <row r="3" ht="15" customHeight="1" s="26">
      <c r="A3" s="52" t="inlineStr">
        <is>
          <t>范围：第 1–100 篇。1–40 = I 组建期；41–90 = II 感知期；91–100 = III 拓展期开篇。</t>
        </is>
      </c>
    </row>
    <row r="4" ht="15" customHeight="1" s="26">
      <c r="A4" s="51" t="inlineStr">
        <is>
          <t>51–100 为城市/历史复合密集区：载体重心压在「城市特典 + 社区历史长线」，葛西记忆线在此逐段展开。</t>
        </is>
      </c>
    </row>
    <row r="5" ht="15" customHeight="1" s="26">
      <c r="A5" s="52" t="inlineStr">
        <is>
          <t>行底色：黄=长线种子/收束点；浅绿=II 感知期(51–90)；浅橙=III 拓展期(91–100)。</t>
        </is>
      </c>
    </row>
    <row r="6" ht="15" customHeight="1" s="26">
      <c r="A6" s="51" t="n"/>
    </row>
    <row r="7" ht="15" customHeight="1" s="26">
      <c r="A7" s="53" t="inlineStr">
        <is>
          <t>去重机制：</t>
        </is>
      </c>
    </row>
    <row r="8" ht="15" customHeight="1" s="26">
      <c r="A8" s="51" t="inlineStr">
        <is>
          <t>· 「三原理三元组（标准化）」= 三个核心原理排序后用 +  连接，是去重唯一键。</t>
        </is>
      </c>
    </row>
    <row r="9" ht="15" customHeight="1" s="26">
      <c r="A9" s="51" t="inlineStr">
        <is>
          <t>· 「重复校验」=COUNTIF 自动比对全 100 行；当前应全部显示「唯一」。</t>
        </is>
      </c>
    </row>
    <row r="10" ht="15" customHeight="1" s="26">
      <c r="A10" s="51" t="inlineStr">
        <is>
          <t>· 去重在「组合」层级——单域（气象、光学、历史…）可在不同三元组中复现，三元组本身唯一即可。</t>
        </is>
      </c>
    </row>
    <row r="11" ht="15" customHeight="1" s="26">
      <c r="A11" s="51" t="n"/>
    </row>
    <row r="12" ht="15" customHeight="1" s="26">
      <c r="A12" s="52" t="inlineStr">
        <is>
          <t>人物加入节点：陸珣=第1篇；山本理紗=第41篇；中谷琦=第53篇；葛西全藏=历史/旧物案不定期出场。</t>
        </is>
      </c>
    </row>
    <row r="13" ht="15" customHeight="1" s="26">
      <c r="A13" s="52" t="inlineStr">
        <is>
          <t>陸瑆成长：41篇起从记录者转向独立推理，III 拓展期多次领衔（91/93/95/100）。</t>
        </is>
      </c>
    </row>
    <row r="14" ht="15" customHeight="1" s="26">
      <c r="A14" s="51" t="n"/>
    </row>
    <row r="15" ht="15" customHeight="1" s="26">
      <c r="A15" s="53" t="inlineStr">
        <is>
          <t>新增第 101 篇及以后：</t>
        </is>
      </c>
    </row>
    <row r="16" ht="15" customHeight="1" s="26">
      <c r="A16" s="51" t="inlineStr">
        <is>
          <t>1. 定三个核心原理 → 排序写入「三原理三元组」列。</t>
        </is>
      </c>
    </row>
    <row r="17" ht="15" customHeight="1" s="26">
      <c r="A17" s="51" t="inlineStr">
        <is>
          <t>2. 向下复制「重复校验」公式，并把公式内 $M$2:$M$101 范围扩展到新行。</t>
        </is>
      </c>
    </row>
    <row r="18" ht="15" customHeight="1" s="26">
      <c r="A18" s="51" t="inlineStr">
        <is>
          <t>3. 若显示「⚠ 重复」，更换至少一个核心原理或改换载体场景。</t>
        </is>
      </c>
    </row>
    <row r="19" ht="15" customHeight="1" s="26">
      <c r="A19" s="51" t="n"/>
    </row>
    <row r="20" ht="15" customHeight="1" s="26">
      <c r="A20" s="52" t="inlineStr">
        <is>
          <t>非重复可行性：约 24–36 个知识域，三原理组合 C(24,3)=2024 种；保留约15%仍 &gt; 200 篇所需。</t>
        </is>
      </c>
    </row>
    <row r="21" ht="15" customHeight="1" s="26">
      <c r="A21" s="52" t="inlineStr">
        <is>
          <t>基线：项目正典 V1.0（2026-06-04）。废弃角色「阿文」已剔除，职能并入葛西全藏与陸珣。</t>
        </is>
      </c>
    </row>
    <row r="23">
      <c r="A23" t="inlineStr">
        <is>
          <t>· zip-2 前100篇 · 增列 正典ID/gate_pass · Vol1 A001–A005 · #1→C001 · #100→D001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2026-06-05T06:46:29Z</dcterms:created>
  <dcterms:modified xmlns:dcterms="http://purl.org/dc/terms/" xmlns:xsi="http://www.w3.org/2001/XMLSchema-instance" xsi:type="dcterms:W3CDTF">2026-06-05T07:05:37Z</dcterms:modified>
  <cp:revision>0</cp:revision>
</cp:coreProperties>
</file>