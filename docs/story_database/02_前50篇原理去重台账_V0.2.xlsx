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ol1_LOCK" sheetId="1" state="visible" r:id="rId1"/>
    <sheet xmlns:r="http://schemas.openxmlformats.org/officeDocument/2006/relationships" name="前50篇台账" sheetId="2" state="visible" r:id="rId2"/>
    <sheet xmlns:r="http://schemas.openxmlformats.org/officeDocument/2006/relationships" name="知识域容量" sheetId="3" state="visible" r:id="rId3"/>
    <sheet xmlns:r="http://schemas.openxmlformats.org/officeDocument/2006/relationships" name="说明" sheetId="4" state="visible" r:id="rId4"/>
  </sheets>
  <definedNames>
    <definedName name="_xlnm._FilterDatabase" localSheetId="1" hidden="1">'前50篇台账'!$A$1:$P$51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333"/>
      <sz val="9"/>
    </font>
    <font>
      <name val="Arial"/>
      <charset val="1"/>
      <family val="0"/>
      <color rgb="FF333333"/>
      <sz val="9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b val="1"/>
      <sz val="12"/>
    </font>
    <font>
      <name val="Arial"/>
      <charset val="1"/>
      <family val="0"/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正典ID</t>
        </is>
      </c>
      <c r="B1" t="inlineStr">
        <is>
          <t>gate_pass</t>
        </is>
      </c>
      <c r="C1" t="inlineStr">
        <is>
          <t>篇名（中）</t>
        </is>
      </c>
      <c r="D1" t="inlineStr">
        <is>
          <t>三原理三元组</t>
        </is>
      </c>
      <c r="E1" t="inlineStr">
        <is>
          <t>carrier</t>
        </is>
      </c>
      <c r="F1" t="inlineStr">
        <is>
          <t>status</t>
        </is>
      </c>
    </row>
    <row r="2">
      <c r="A2" t="inlineStr">
        <is>
          <t>A001</t>
        </is>
      </c>
      <c r="B2" t="inlineStr">
        <is>
          <t>G1–G7 Y</t>
        </is>
      </c>
      <c r="C2" t="inlineStr">
        <is>
          <t>翘边的海报</t>
        </is>
      </c>
      <c r="D2" t="inlineStr">
        <is>
          <t>侧廊出风 + 晨间湿度 + 胶带黏着</t>
        </is>
      </c>
      <c r="E2" t="inlineStr">
        <is>
          <t>校园</t>
        </is>
      </c>
      <c r="F2" t="inlineStr">
        <is>
          <t>样章+正文✅</t>
        </is>
      </c>
    </row>
    <row r="3">
      <c r="A3" t="inlineStr">
        <is>
          <t>A002</t>
        </is>
      </c>
      <c r="B3" t="inlineStr">
        <is>
          <t>G1–G7 Y</t>
        </is>
      </c>
      <c r="C3" t="inlineStr">
        <is>
          <t>错位的泥印</t>
        </is>
      </c>
      <c r="D3" t="inlineStr">
        <is>
          <t>鞋柜动线 + 目击链 + 泥印方向</t>
        </is>
      </c>
      <c r="E3" t="inlineStr">
        <is>
          <t>校园</t>
        </is>
      </c>
      <c r="F3" t="inlineStr">
        <is>
          <t>正文✅</t>
        </is>
      </c>
    </row>
    <row r="4">
      <c r="A4" t="inlineStr">
        <is>
          <t>A003</t>
        </is>
      </c>
      <c r="B4" t="inlineStr">
        <is>
          <t>G1–G7 Y</t>
        </is>
      </c>
      <c r="C4" t="inlineStr">
        <is>
          <t>空着的那一栏</t>
        </is>
      </c>
      <c r="D4" t="inlineStr">
        <is>
          <t>核实流程 + 采访伦理 + 无源收束</t>
        </is>
      </c>
      <c r="E4" t="inlineStr">
        <is>
          <t>校园</t>
        </is>
      </c>
      <c r="F4" t="inlineStr">
        <is>
          <t>正文✅</t>
        </is>
      </c>
    </row>
    <row r="5">
      <c r="A5" t="inlineStr">
        <is>
          <t>A004</t>
        </is>
      </c>
      <c r="B5" t="inlineStr">
        <is>
          <t>G1–G7 Y</t>
        </is>
      </c>
      <c r="C5" t="inlineStr">
        <is>
          <t>粉笔灰的圆圈</t>
        </is>
      </c>
      <c r="D5" t="inlineStr">
        <is>
          <t>静电吸附 + 粉笔粉尘 + 清扫动线</t>
        </is>
      </c>
      <c r="E5" t="inlineStr">
        <is>
          <t>校园</t>
        </is>
      </c>
      <c r="F5" t="inlineStr">
        <is>
          <t>Card✅</t>
        </is>
      </c>
    </row>
    <row r="6">
      <c r="A6" t="inlineStr">
        <is>
          <t>A005</t>
        </is>
      </c>
      <c r="B6" t="inlineStr">
        <is>
          <t>G1–G7 Y</t>
        </is>
      </c>
      <c r="C6" t="inlineStr">
        <is>
          <t>橡皮屑的方向</t>
        </is>
      </c>
      <c r="D6" t="inlineStr">
        <is>
          <t>摩擦痕迹 + 振动滑出 + 行为链</t>
        </is>
      </c>
      <c r="E6" t="inlineStr">
        <is>
          <t>校园</t>
        </is>
      </c>
      <c r="F6" t="inlineStr">
        <is>
          <t>Card✅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6" min="1" max="1"/>
    <col width="18" customWidth="1" style="16" min="2" max="2"/>
    <col width="16" customWidth="1" style="16" min="3" max="3"/>
    <col width="11" customWidth="1" style="16" min="4" max="5"/>
    <col width="18" customWidth="1" style="16" min="6" max="6"/>
    <col width="11" customWidth="1" style="16" min="7" max="7"/>
    <col width="14" customWidth="1" style="16" min="8" max="8"/>
    <col width="24" customWidth="1" style="16" min="9" max="9"/>
    <col width="11" customWidth="1" style="16" min="10" max="12"/>
    <col width="30" customWidth="1" style="16" min="13" max="13"/>
    <col width="12" customWidth="1" style="16" min="14" max="14"/>
    <col width="16" customWidth="1" style="16" min="15" max="15"/>
    <col width="11" customWidth="1" style="16" min="16" max="16"/>
  </cols>
  <sheetData>
    <row r="1" ht="30" customHeight="1" s="17">
      <c r="A1" s="18" t="inlineStr">
        <is>
          <t>正典ID</t>
        </is>
      </c>
      <c r="B1" s="18" t="inlineStr">
        <is>
          <t>gate_pass</t>
        </is>
      </c>
      <c r="C1" s="19" t="inlineStr">
        <is>
          <t>案号</t>
        </is>
      </c>
      <c r="D1" s="19" t="inlineStr">
        <is>
          <t>篇名（日）</t>
        </is>
      </c>
      <c r="E1" s="19" t="inlineStr">
        <is>
          <t>篇名（中）</t>
        </is>
      </c>
      <c r="F1" s="19" t="inlineStr">
        <is>
          <t>阶段</t>
        </is>
      </c>
      <c r="G1" s="19" t="inlineStr">
        <is>
          <t>层级</t>
        </is>
      </c>
      <c r="H1" s="19" t="inlineStr">
        <is>
          <t>载体</t>
        </is>
      </c>
      <c r="I1" s="19" t="inlineStr">
        <is>
          <t>季节</t>
        </is>
      </c>
      <c r="J1" s="19" t="inlineStr">
        <is>
          <t>领衔</t>
        </is>
      </c>
      <c r="K1" s="19" t="inlineStr">
        <is>
          <t>参与全员</t>
        </is>
      </c>
      <c r="L1" s="19" t="inlineStr">
        <is>
          <t>知识域 1</t>
        </is>
      </c>
      <c r="M1" s="19" t="inlineStr">
        <is>
          <t>知识域 2</t>
        </is>
      </c>
      <c r="N1" s="19" t="inlineStr">
        <is>
          <t>知识域 3</t>
        </is>
      </c>
      <c r="O1" s="19" t="inlineStr">
        <is>
          <t>三原理三元组（标准化）</t>
        </is>
      </c>
      <c r="P1" s="19" t="inlineStr">
        <is>
          <t>主范式</t>
        </is>
      </c>
      <c r="Q1" s="19" t="inlineStr">
        <is>
          <t>长线标记</t>
        </is>
      </c>
      <c r="R1" s="19" t="inlineStr">
        <is>
          <t>重复校验</t>
        </is>
      </c>
    </row>
    <row r="2" ht="15" customHeight="1" s="17">
      <c r="A2" s="20" t="inlineStr">
        <is>
          <t>A001</t>
        </is>
      </c>
      <c r="B2" t="inlineStr">
        <is>
          <t>ポスターの端</t>
        </is>
      </c>
      <c r="C2" t="inlineStr">
        <is>
          <t>翘边的海报</t>
        </is>
      </c>
      <c r="D2" t="inlineStr">
        <is>
          <t>I 组建期</t>
        </is>
      </c>
      <c r="E2" t="inlineStr">
        <is>
          <t>核心连载</t>
        </is>
      </c>
      <c r="F2" t="inlineStr">
        <is>
          <t>校园</t>
        </is>
      </c>
      <c r="G2" t="inlineStr">
        <is>
          <t>4月</t>
        </is>
      </c>
      <c r="H2" t="inlineStr">
        <is>
          <t>慧美·志郎·光</t>
        </is>
      </c>
      <c r="I2" t="inlineStr">
        <is>
          <t>光·慧美·志郎·珣（+瑆 笔记）</t>
        </is>
      </c>
      <c r="J2" t="inlineStr">
        <is>
          <t>气象</t>
        </is>
      </c>
      <c r="K2" t="inlineStr">
        <is>
          <t>材料</t>
        </is>
      </c>
      <c r="L2" t="inlineStr">
        <is>
          <t>流体</t>
        </is>
      </c>
      <c r="M2" t="inlineStr">
        <is>
          <t>侧廊出风 + 晨间湿度 + 胶带黏着</t>
        </is>
      </c>
      <c r="N2" t="inlineStr">
        <is>
          <t>实验+观察</t>
        </is>
      </c>
      <c r="O2" t="inlineStr">
        <is>
          <t>Vol1·样章</t>
        </is>
      </c>
      <c r="P2" t="inlineStr">
        <is>
          <t>G1–G7 Y</t>
        </is>
      </c>
    </row>
    <row r="3" ht="15" customHeight="1" s="17">
      <c r="A3" s="20" t="inlineStr">
        <is>
          <t>A002</t>
        </is>
      </c>
      <c r="B3" t="inlineStr">
        <is>
          <t>ずれた泥の跡</t>
        </is>
      </c>
      <c r="C3" t="inlineStr">
        <is>
          <t>错位的泥印</t>
        </is>
      </c>
      <c r="D3" t="inlineStr">
        <is>
          <t>I 组建期</t>
        </is>
      </c>
      <c r="E3" t="inlineStr">
        <is>
          <t>核心连载</t>
        </is>
      </c>
      <c r="F3" t="inlineStr">
        <is>
          <t>校园</t>
        </is>
      </c>
      <c r="G3" t="inlineStr">
        <is>
          <t>4月</t>
        </is>
      </c>
      <c r="H3" t="inlineStr">
        <is>
          <t>慧美·光</t>
        </is>
      </c>
      <c r="I3" t="inlineStr">
        <is>
          <t>光·慧美·志郎·珣（+瑆 笔记）</t>
        </is>
      </c>
      <c r="J3" t="inlineStr">
        <is>
          <t>行为</t>
        </is>
      </c>
      <c r="K3" t="inlineStr">
        <is>
          <t>动线</t>
        </is>
      </c>
      <c r="L3" t="inlineStr">
        <is>
          <t>地理</t>
        </is>
      </c>
      <c r="M3" t="inlineStr">
        <is>
          <t>鞋柜动线 + 目击链 + 泥印方向</t>
        </is>
      </c>
      <c r="N3" t="inlineStr">
        <is>
          <t>采访+实验</t>
        </is>
      </c>
      <c r="P3" t="inlineStr">
        <is>
          <t>G1–G7 Y</t>
        </is>
      </c>
    </row>
    <row r="4" ht="15" customHeight="1" s="17">
      <c r="A4" s="20" t="inlineStr">
        <is>
          <t>A003</t>
        </is>
      </c>
      <c r="B4" t="inlineStr">
        <is>
          <t>空いた欄</t>
        </is>
      </c>
      <c r="C4" t="inlineStr">
        <is>
          <t>空着的那一栏</t>
        </is>
      </c>
      <c r="D4" t="inlineStr">
        <is>
          <t>I 组建期</t>
        </is>
      </c>
      <c r="E4" t="inlineStr">
        <is>
          <t>核心连载</t>
        </is>
      </c>
      <c r="F4" t="inlineStr">
        <is>
          <t>校园</t>
        </is>
      </c>
      <c r="G4" t="inlineStr">
        <is>
          <t>4月</t>
        </is>
      </c>
      <c r="H4" t="inlineStr">
        <is>
          <t>慧美</t>
        </is>
      </c>
      <c r="I4" t="inlineStr">
        <is>
          <t>光·慧美·志郎·珣（+瑆 笔记）</t>
        </is>
      </c>
      <c r="J4" t="inlineStr">
        <is>
          <t>逻辑</t>
        </is>
      </c>
      <c r="K4" t="inlineStr">
        <is>
          <t>心理</t>
        </is>
      </c>
      <c r="L4" t="inlineStr">
        <is>
          <t>传播</t>
        </is>
      </c>
      <c r="M4" t="inlineStr">
        <is>
          <t>核实流程 + 采访伦理 + 无源收束</t>
        </is>
      </c>
      <c r="N4" t="inlineStr">
        <is>
          <t>采访+逻辑</t>
        </is>
      </c>
      <c r="P4" t="inlineStr">
        <is>
          <t>G1–G7 Y</t>
        </is>
      </c>
    </row>
    <row r="5" ht="15" customHeight="1" s="17">
      <c r="A5" s="20" t="inlineStr">
        <is>
          <t>A004</t>
        </is>
      </c>
      <c r="B5" t="inlineStr">
        <is>
          <t>チョークの円</t>
        </is>
      </c>
      <c r="C5" t="inlineStr">
        <is>
          <t>粉笔灰的圆圈</t>
        </is>
      </c>
      <c r="D5" t="inlineStr">
        <is>
          <t>I 组建期</t>
        </is>
      </c>
      <c r="E5" t="inlineStr">
        <is>
          <t>核心连载</t>
        </is>
      </c>
      <c r="F5" t="inlineStr">
        <is>
          <t>校园</t>
        </is>
      </c>
      <c r="G5" t="inlineStr">
        <is>
          <t>4月</t>
        </is>
      </c>
      <c r="H5" t="inlineStr">
        <is>
          <t>志郎·珣</t>
        </is>
      </c>
      <c r="I5" t="inlineStr">
        <is>
          <t>光·慧美·志郎·珣（+瑆 笔记）</t>
        </is>
      </c>
      <c r="J5" t="inlineStr">
        <is>
          <t>静电</t>
        </is>
      </c>
      <c r="K5" t="inlineStr">
        <is>
          <t>材料</t>
        </is>
      </c>
      <c r="L5" t="inlineStr">
        <is>
          <t>行为</t>
        </is>
      </c>
      <c r="M5" t="inlineStr">
        <is>
          <t>静电吸附 + 粉笔粉尘 + 清扫动线</t>
        </is>
      </c>
      <c r="N5" t="inlineStr">
        <is>
          <t>实验+结构</t>
        </is>
      </c>
      <c r="P5" t="inlineStr">
        <is>
          <t>G1–G7 Y</t>
        </is>
      </c>
    </row>
    <row r="6" ht="15" customHeight="1" s="17">
      <c r="A6" s="20" t="inlineStr">
        <is>
          <t>A005</t>
        </is>
      </c>
      <c r="B6" t="inlineStr">
        <is>
          <t>消しゴムの屑</t>
        </is>
      </c>
      <c r="C6" t="inlineStr">
        <is>
          <t>橡皮屑的方向</t>
        </is>
      </c>
      <c r="D6" t="inlineStr">
        <is>
          <t>I 组建期</t>
        </is>
      </c>
      <c r="E6" t="inlineStr">
        <is>
          <t>核心连载</t>
        </is>
      </c>
      <c r="F6" t="inlineStr">
        <is>
          <t>校园</t>
        </is>
      </c>
      <c r="G6" t="inlineStr">
        <is>
          <t>4月</t>
        </is>
      </c>
      <c r="H6" t="inlineStr">
        <is>
          <t>志郎·珣</t>
        </is>
      </c>
      <c r="I6" t="inlineStr">
        <is>
          <t>光·慧美·志郎·珣（+瑆 笔记）</t>
        </is>
      </c>
      <c r="J6" t="inlineStr">
        <is>
          <t>力学</t>
        </is>
      </c>
      <c r="K6" t="inlineStr">
        <is>
          <t>材料</t>
        </is>
      </c>
      <c r="L6" t="inlineStr">
        <is>
          <t>行为</t>
        </is>
      </c>
      <c r="M6" t="inlineStr">
        <is>
          <t>摩擦痕迹 + 振动滑出 + 行为链</t>
        </is>
      </c>
      <c r="N6" t="inlineStr">
        <is>
          <t>结构还原</t>
        </is>
      </c>
      <c r="O6" t="inlineStr">
        <is>
          <t>珣入社</t>
        </is>
      </c>
      <c r="P6" t="inlineStr">
        <is>
          <t>G1–G7 Y</t>
        </is>
      </c>
    </row>
    <row r="7" ht="15" customHeight="1" s="17">
      <c r="A7" t="inlineStr">
        <is>
          <t>C001</t>
        </is>
      </c>
      <c r="B7" t="inlineStr">
        <is>
          <t>G1=N · 素材库</t>
        </is>
      </c>
      <c r="C7" s="21" t="n">
        <v>1</v>
      </c>
      <c r="D7" s="22" t="inlineStr">
        <is>
          <t>濡れる椅子</t>
        </is>
      </c>
      <c r="E7" s="22" t="inlineStr">
        <is>
          <t>总是湿的椅子</t>
        </is>
      </c>
      <c r="F7" s="21" t="inlineStr">
        <is>
          <t>I 组建期</t>
        </is>
      </c>
      <c r="G7" s="23" t="inlineStr">
        <is>
          <t>核心连载</t>
        </is>
      </c>
      <c r="H7" s="22" t="inlineStr">
        <is>
          <t>校园</t>
        </is>
      </c>
      <c r="I7" s="21" t="inlineStr">
        <is>
          <t>4月</t>
        </is>
      </c>
      <c r="J7" s="22" t="inlineStr">
        <is>
          <t>光·慧美·珣</t>
        </is>
      </c>
      <c r="K7" s="22" t="inlineStr">
        <is>
          <t>光·慧美·志郎·珣（+瑆 笔记）</t>
        </is>
      </c>
      <c r="L7" s="22" t="inlineStr">
        <is>
          <t>热学</t>
        </is>
      </c>
      <c r="M7" s="22" t="inlineStr">
        <is>
          <t>热传导</t>
        </is>
      </c>
      <c r="N7" s="22" t="inlineStr">
        <is>
          <t>气象</t>
        </is>
      </c>
      <c r="O7" s="24" t="inlineStr">
        <is>
          <t>窗框热传导 + 结露 + 露点湿度</t>
        </is>
      </c>
      <c r="P7" s="23" t="inlineStr">
        <is>
          <t>C001·热学深潜</t>
        </is>
      </c>
      <c r="Q7" s="25" t="inlineStr">
        <is>
          <t>C001·热学深潜（非入社）</t>
        </is>
      </c>
      <c r="R7" s="21">
        <f>IF(COUNTIF($M$2:$M$51,M2)&gt;1,"⚠ 重复","唯一")</f>
        <v/>
      </c>
    </row>
    <row r="8" ht="15" customHeight="1" s="17">
      <c r="A8" t="inlineStr">
        <is>
          <t>A006</t>
        </is>
      </c>
      <c r="B8" t="inlineStr">
        <is>
          <t>⬜</t>
        </is>
      </c>
      <c r="C8" s="26" t="n">
        <v>2</v>
      </c>
      <c r="D8" s="27" t="inlineStr">
        <is>
          <t>転がる消しゴム</t>
        </is>
      </c>
      <c r="E8" s="27" t="inlineStr">
        <is>
          <t>谁偷了橡皮</t>
        </is>
      </c>
      <c r="F8" s="26" t="inlineStr">
        <is>
          <t>I 组建期</t>
        </is>
      </c>
      <c r="G8" s="28" t="inlineStr">
        <is>
          <t>核心连载</t>
        </is>
      </c>
      <c r="H8" s="27" t="inlineStr">
        <is>
          <t>校园</t>
        </is>
      </c>
      <c r="I8" s="26" t="inlineStr">
        <is>
          <t>5月</t>
        </is>
      </c>
      <c r="J8" s="27" t="inlineStr">
        <is>
          <t>志郎</t>
        </is>
      </c>
      <c r="K8" s="27" t="inlineStr">
        <is>
          <t>光·慧美·志郎·珣（+瑆 笔记）</t>
        </is>
      </c>
      <c r="L8" s="27" t="inlineStr">
        <is>
          <t>力学</t>
        </is>
      </c>
      <c r="M8" s="27" t="inlineStr">
        <is>
          <t>材料</t>
        </is>
      </c>
      <c r="N8" s="27" t="inlineStr">
        <is>
          <t>行为</t>
        </is>
      </c>
      <c r="O8" s="29" t="inlineStr">
        <is>
          <t>摩擦力 + 斜面滚动 + 行为习惯</t>
        </is>
      </c>
      <c r="P8" s="28" t="inlineStr">
        <is>
          <t>结构还原</t>
        </is>
      </c>
      <c r="Q8" s="27" t="n"/>
      <c r="R8" s="26">
        <f>IF(COUNTIF($M$2:$M$51,M3)&gt;1,"⚠ 重复","唯一")</f>
        <v/>
      </c>
    </row>
    <row r="9" ht="15" customHeight="1" s="17">
      <c r="A9" t="inlineStr">
        <is>
          <t>A007</t>
        </is>
      </c>
      <c r="B9" t="inlineStr">
        <is>
          <t>⬜</t>
        </is>
      </c>
      <c r="C9" s="26" t="n">
        <v>3</v>
      </c>
      <c r="D9" s="27" t="inlineStr">
        <is>
          <t>アリの行列</t>
        </is>
      </c>
      <c r="E9" s="27" t="inlineStr">
        <is>
          <t>蚂蚁的队列</t>
        </is>
      </c>
      <c r="F9" s="26" t="inlineStr">
        <is>
          <t>I 组建期</t>
        </is>
      </c>
      <c r="G9" s="28" t="inlineStr">
        <is>
          <t>核心连载</t>
        </is>
      </c>
      <c r="H9" s="27" t="inlineStr">
        <is>
          <t>校园·操场</t>
        </is>
      </c>
      <c r="I9" s="26" t="inlineStr">
        <is>
          <t>6月梅雨</t>
        </is>
      </c>
      <c r="J9" s="27" t="inlineStr">
        <is>
          <t>珣</t>
        </is>
      </c>
      <c r="K9" s="27" t="inlineStr">
        <is>
          <t>光·慧美·志郎·珣（+瑆 笔记）</t>
        </is>
      </c>
      <c r="L9" s="27" t="inlineStr">
        <is>
          <t>生物</t>
        </is>
      </c>
      <c r="M9" s="27" t="inlineStr">
        <is>
          <t>化学</t>
        </is>
      </c>
      <c r="N9" s="27" t="inlineStr">
        <is>
          <t>气象</t>
        </is>
      </c>
      <c r="O9" s="29" t="inlineStr">
        <is>
          <t>信息素挥发 + 昆虫信息素 + 湿度扩散</t>
        </is>
      </c>
      <c r="P9" s="28" t="inlineStr">
        <is>
          <t>微观领域</t>
        </is>
      </c>
      <c r="Q9" s="27" t="n"/>
      <c r="R9" s="26">
        <f>IF(COUNTIF($M$2:$M$51,M4)&gt;1,"⚠ 重复","唯一")</f>
        <v/>
      </c>
    </row>
    <row r="10" ht="15" customHeight="1" s="17">
      <c r="A10" t="inlineStr">
        <is>
          <t>A008</t>
        </is>
      </c>
      <c r="B10" t="inlineStr">
        <is>
          <t>⬜</t>
        </is>
      </c>
      <c r="C10" s="26" t="n">
        <v>4</v>
      </c>
      <c r="D10" s="27" t="inlineStr">
        <is>
          <t>音楽室の和音</t>
        </is>
      </c>
      <c r="E10" s="27" t="inlineStr">
        <is>
          <t>音乐教室的怪声</t>
        </is>
      </c>
      <c r="F10" s="26" t="inlineStr">
        <is>
          <t>I 组建期</t>
        </is>
      </c>
      <c r="G10" s="28" t="inlineStr">
        <is>
          <t>核心连载</t>
        </is>
      </c>
      <c r="H10" s="27" t="inlineStr">
        <is>
          <t>校园</t>
        </is>
      </c>
      <c r="I10" s="26" t="inlineStr">
        <is>
          <t>7月</t>
        </is>
      </c>
      <c r="J10" s="27" t="inlineStr">
        <is>
          <t>珣</t>
        </is>
      </c>
      <c r="K10" s="27" t="inlineStr">
        <is>
          <t>光·慧美·志郎·珣（+瑆 笔记）</t>
        </is>
      </c>
      <c r="L10" s="27" t="inlineStr">
        <is>
          <t>声学</t>
        </is>
      </c>
      <c r="M10" s="27" t="inlineStr">
        <is>
          <t>音乐</t>
        </is>
      </c>
      <c r="N10" s="27" t="inlineStr">
        <is>
          <t>材料</t>
        </is>
      </c>
      <c r="O10" s="29" t="inlineStr">
        <is>
          <t>共振 + 和弦泛音 + 固体传声</t>
        </is>
      </c>
      <c r="P10" s="28" t="inlineStr">
        <is>
          <t>微观</t>
        </is>
      </c>
      <c r="Q10" s="27" t="n"/>
      <c r="R10" s="26">
        <f>IF(COUNTIF($M$2:$M$51,M5)&gt;1,"⚠ 重复","唯一")</f>
        <v/>
      </c>
    </row>
    <row r="11" ht="15" customHeight="1" s="17">
      <c r="A11" t="inlineStr">
        <is>
          <t>A009</t>
        </is>
      </c>
      <c r="B11" t="inlineStr">
        <is>
          <t>⬜</t>
        </is>
      </c>
      <c r="C11" s="26" t="n">
        <v>5</v>
      </c>
      <c r="D11" s="27" t="inlineStr">
        <is>
          <t>旗竿の影</t>
        </is>
      </c>
      <c r="E11" s="27" t="inlineStr">
        <is>
          <t>歪掉的旗杆影子</t>
        </is>
      </c>
      <c r="F11" s="26" t="inlineStr">
        <is>
          <t>I 组建期</t>
        </is>
      </c>
      <c r="G11" s="28" t="inlineStr">
        <is>
          <t>核心连载</t>
        </is>
      </c>
      <c r="H11" s="27" t="inlineStr">
        <is>
          <t>校园·操场</t>
        </is>
      </c>
      <c r="I11" s="26" t="inlineStr">
        <is>
          <t>10月运动会</t>
        </is>
      </c>
      <c r="J11" s="27" t="inlineStr">
        <is>
          <t>慧美·珣</t>
        </is>
      </c>
      <c r="K11" s="27" t="inlineStr">
        <is>
          <t>光·慧美·志郎·珣（+瑆 笔记）</t>
        </is>
      </c>
      <c r="L11" s="27" t="inlineStr">
        <is>
          <t>天文</t>
        </is>
      </c>
      <c r="M11" s="27" t="inlineStr">
        <is>
          <t>地理</t>
        </is>
      </c>
      <c r="N11" s="27" t="inlineStr">
        <is>
          <t>数学</t>
        </is>
      </c>
      <c r="O11" s="29" t="inlineStr">
        <is>
          <t>几何投影 + 太阳高度角 + 纬度时差</t>
        </is>
      </c>
      <c r="P11" s="28" t="inlineStr">
        <is>
          <t>实验+结构</t>
        </is>
      </c>
      <c r="Q11" s="27" t="n"/>
      <c r="R11" s="26">
        <f>IF(COUNTIF($M$2:$M$51,M6)&gt;1,"⚠ 重复","唯一")</f>
        <v/>
      </c>
    </row>
    <row r="12" ht="15" customHeight="1" s="17">
      <c r="A12" t="inlineStr">
        <is>
          <t>A010</t>
        </is>
      </c>
      <c r="B12" t="inlineStr">
        <is>
          <t>⬜</t>
        </is>
      </c>
      <c r="C12" s="26" t="n">
        <v>6</v>
      </c>
      <c r="D12" s="27" t="inlineStr">
        <is>
          <t>蛇口のぬるま湯</t>
        </is>
      </c>
      <c r="E12" s="27" t="inlineStr">
        <is>
          <t>水龙头里的温水</t>
        </is>
      </c>
      <c r="F12" s="26" t="inlineStr">
        <is>
          <t>I 组建期</t>
        </is>
      </c>
      <c r="G12" s="28" t="inlineStr">
        <is>
          <t>核心连载</t>
        </is>
      </c>
      <c r="H12" s="27" t="inlineStr">
        <is>
          <t>校园</t>
        </is>
      </c>
      <c r="I12" s="26" t="inlineStr">
        <is>
          <t>8月</t>
        </is>
      </c>
      <c r="J12" s="27" t="inlineStr">
        <is>
          <t>志郎</t>
        </is>
      </c>
      <c r="K12" s="27" t="inlineStr">
        <is>
          <t>光·慧美·志郎·珣（+瑆 笔记）</t>
        </is>
      </c>
      <c r="L12" s="27" t="inlineStr">
        <is>
          <t>热学</t>
        </is>
      </c>
      <c r="M12" s="27" t="inlineStr">
        <is>
          <t>地质</t>
        </is>
      </c>
      <c r="N12" s="27" t="inlineStr">
        <is>
          <t>工程</t>
        </is>
      </c>
      <c r="O12" s="29" t="inlineStr">
        <is>
          <t>土壤比热 + 管道埋深 + 管道热传导</t>
        </is>
      </c>
      <c r="P12" s="28" t="inlineStr">
        <is>
          <t>结构还原</t>
        </is>
      </c>
      <c r="Q12" s="27" t="n"/>
      <c r="R12" s="26">
        <f>IF(COUNTIF($M$2:$M$51,M7)&gt;1,"⚠ 重复","唯一")</f>
        <v/>
      </c>
    </row>
    <row r="13" ht="15" customHeight="1" s="17">
      <c r="A13" t="inlineStr">
        <is>
          <t>A011</t>
        </is>
      </c>
      <c r="B13" t="inlineStr">
        <is>
          <t>⬜</t>
        </is>
      </c>
      <c r="C13" s="26" t="n">
        <v>7</v>
      </c>
      <c r="D13" s="27" t="inlineStr">
        <is>
          <t>植木鉢の白い骨</t>
        </is>
      </c>
      <c r="E13" s="27" t="inlineStr">
        <is>
          <t>花盆里的白骨</t>
        </is>
      </c>
      <c r="F13" s="26" t="inlineStr">
        <is>
          <t>I 组建期</t>
        </is>
      </c>
      <c r="G13" s="28" t="inlineStr">
        <is>
          <t>核心连载</t>
        </is>
      </c>
      <c r="H13" s="27" t="inlineStr">
        <is>
          <t>校园·植物角</t>
        </is>
      </c>
      <c r="I13" s="26" t="inlineStr">
        <is>
          <t>11月</t>
        </is>
      </c>
      <c r="J13" s="27" t="inlineStr">
        <is>
          <t>珣</t>
        </is>
      </c>
      <c r="K13" s="27" t="inlineStr">
        <is>
          <t>光·慧美·志郎·珣（+瑆 笔记）</t>
        </is>
      </c>
      <c r="L13" s="27" t="inlineStr">
        <is>
          <t>微生物</t>
        </is>
      </c>
      <c r="M13" s="27" t="inlineStr">
        <is>
          <t>植物</t>
        </is>
      </c>
      <c r="N13" s="27" t="inlineStr">
        <is>
          <t>化学</t>
        </is>
      </c>
      <c r="O13" s="29" t="inlineStr">
        <is>
          <t>共生关系 + 真菌菌丝 + 菌丝代谢</t>
        </is>
      </c>
      <c r="P13" s="28" t="inlineStr">
        <is>
          <t>微观</t>
        </is>
      </c>
      <c r="Q13" s="27" t="n"/>
      <c r="R13" s="26">
        <f>IF(COUNTIF($M$2:$M$51,M8)&gt;1,"⚠ 重复","唯一")</f>
        <v/>
      </c>
    </row>
    <row r="14" ht="29.85" customHeight="1" s="17">
      <c r="A14" t="inlineStr">
        <is>
          <t>A012</t>
        </is>
      </c>
      <c r="B14" t="inlineStr">
        <is>
          <t>⬜</t>
        </is>
      </c>
      <c r="C14" s="26" t="n">
        <v>8</v>
      </c>
      <c r="D14" s="27" t="inlineStr">
        <is>
          <t>遅れる時計</t>
        </is>
      </c>
      <c r="E14" s="27" t="inlineStr">
        <is>
          <t>不走的钟</t>
        </is>
      </c>
      <c r="F14" s="26" t="inlineStr">
        <is>
          <t>I 组建期</t>
        </is>
      </c>
      <c r="G14" s="28" t="inlineStr">
        <is>
          <t>核心连载</t>
        </is>
      </c>
      <c r="H14" s="27" t="inlineStr">
        <is>
          <t>校园</t>
        </is>
      </c>
      <c r="I14" s="26" t="inlineStr">
        <is>
          <t>12月</t>
        </is>
      </c>
      <c r="J14" s="27" t="inlineStr">
        <is>
          <t>慧美·珣</t>
        </is>
      </c>
      <c r="K14" s="27" t="inlineStr">
        <is>
          <t>光·慧美·志郎·珣（+瑆 笔记）</t>
        </is>
      </c>
      <c r="L14" s="27" t="inlineStr">
        <is>
          <t>电子</t>
        </is>
      </c>
      <c r="M14" s="27" t="inlineStr">
        <is>
          <t>热学</t>
        </is>
      </c>
      <c r="N14" s="27" t="inlineStr">
        <is>
          <t>数学</t>
        </is>
      </c>
      <c r="O14" s="29" t="inlineStr">
        <is>
          <t>温差 + 石英晶振温度特性 + 误差累积</t>
        </is>
      </c>
      <c r="P14" s="28" t="inlineStr">
        <is>
          <t>实验+微观</t>
        </is>
      </c>
      <c r="Q14" s="27" t="n"/>
      <c r="R14" s="26">
        <f>IF(COUNTIF($M$2:$M$51,M9)&gt;1,"⚠ 重复","唯一")</f>
        <v/>
      </c>
    </row>
    <row r="15" ht="15" customHeight="1" s="17">
      <c r="A15" t="inlineStr">
        <is>
          <t>A013</t>
        </is>
      </c>
      <c r="B15" t="inlineStr">
        <is>
          <t>⬜</t>
        </is>
      </c>
      <c r="C15" s="26" t="n">
        <v>9</v>
      </c>
      <c r="D15" s="27" t="inlineStr">
        <is>
          <t>ドアノブの火花</t>
        </is>
      </c>
      <c r="E15" s="27" t="inlineStr">
        <is>
          <t>会咬人的门把手</t>
        </is>
      </c>
      <c r="F15" s="26" t="inlineStr">
        <is>
          <t>I 组建期</t>
        </is>
      </c>
      <c r="G15" s="28" t="inlineStr">
        <is>
          <t>核心连载</t>
        </is>
      </c>
      <c r="H15" s="27" t="inlineStr">
        <is>
          <t>校园·图书馆</t>
        </is>
      </c>
      <c r="I15" s="26" t="inlineStr">
        <is>
          <t>1月</t>
        </is>
      </c>
      <c r="J15" s="27" t="inlineStr">
        <is>
          <t>志郎</t>
        </is>
      </c>
      <c r="K15" s="27" t="inlineStr">
        <is>
          <t>光·慧美·志郎·珣（+瑆 笔记）</t>
        </is>
      </c>
      <c r="L15" s="27" t="inlineStr">
        <is>
          <t>电磁</t>
        </is>
      </c>
      <c r="M15" s="27" t="inlineStr">
        <is>
          <t>材料</t>
        </is>
      </c>
      <c r="N15" s="27" t="inlineStr">
        <is>
          <t>气象</t>
        </is>
      </c>
      <c r="O15" s="29" t="inlineStr">
        <is>
          <t>导电性 + 干燥湿度 + 静电</t>
        </is>
      </c>
      <c r="P15" s="28" t="inlineStr">
        <is>
          <t>实验</t>
        </is>
      </c>
      <c r="Q15" s="27" t="n"/>
      <c r="R15" s="26">
        <f>IF(COUNTIF($M$2:$M$51,M10)&gt;1,"⚠ 重复","唯一")</f>
        <v/>
      </c>
    </row>
    <row r="16" ht="15" customHeight="1" s="17">
      <c r="A16" t="inlineStr">
        <is>
          <t>A014</t>
        </is>
      </c>
      <c r="B16" t="inlineStr">
        <is>
          <t>⬜</t>
        </is>
      </c>
      <c r="C16" s="26" t="n">
        <v>10</v>
      </c>
      <c r="D16" s="27" t="inlineStr">
        <is>
          <t>黒板の染み</t>
        </is>
      </c>
      <c r="E16" s="27" t="inlineStr">
        <is>
          <t>黑板上的印记</t>
        </is>
      </c>
      <c r="F16" s="26" t="inlineStr">
        <is>
          <t>I 组建期</t>
        </is>
      </c>
      <c r="G16" s="28" t="inlineStr">
        <is>
          <t>核心连载</t>
        </is>
      </c>
      <c r="H16" s="27" t="inlineStr">
        <is>
          <t>校园</t>
        </is>
      </c>
      <c r="I16" s="26" t="inlineStr">
        <is>
          <t>3月学年末</t>
        </is>
      </c>
      <c r="J16" s="27" t="inlineStr">
        <is>
          <t>慧美</t>
        </is>
      </c>
      <c r="K16" s="27" t="inlineStr">
        <is>
          <t>光·慧美·志郎·珣（+瑆 笔记）</t>
        </is>
      </c>
      <c r="L16" s="27" t="inlineStr">
        <is>
          <t>化学</t>
        </is>
      </c>
      <c r="M16" s="27" t="inlineStr">
        <is>
          <t>材料</t>
        </is>
      </c>
      <c r="N16" s="27" t="inlineStr">
        <is>
          <t>光学</t>
        </is>
      </c>
      <c r="O16" s="29" t="inlineStr">
        <is>
          <t>相似相溶 + 窗格投影 + 表面张力</t>
        </is>
      </c>
      <c r="P16" s="28" t="inlineStr">
        <is>
          <t>实验</t>
        </is>
      </c>
      <c r="Q16" s="27" t="n"/>
      <c r="R16" s="26">
        <f>IF(COUNTIF($M$2:$M$51,M11)&gt;1,"⚠ 重复","唯一")</f>
        <v/>
      </c>
    </row>
    <row r="17" ht="15" customHeight="1" s="17">
      <c r="A17" t="inlineStr">
        <is>
          <t>A015</t>
        </is>
      </c>
      <c r="B17" t="inlineStr">
        <is>
          <t>⬜</t>
        </is>
      </c>
      <c r="C17" s="26" t="n">
        <v>11</v>
      </c>
      <c r="D17" s="27" t="inlineStr">
        <is>
          <t>廊下の口笛</t>
        </is>
      </c>
      <c r="E17" s="27" t="inlineStr">
        <is>
          <t>走廊的口哨声</t>
        </is>
      </c>
      <c r="F17" s="26" t="inlineStr">
        <is>
          <t>I 组建期</t>
        </is>
      </c>
      <c r="G17" s="28" t="inlineStr">
        <is>
          <t>核心连载</t>
        </is>
      </c>
      <c r="H17" s="27" t="inlineStr">
        <is>
          <t>校园</t>
        </is>
      </c>
      <c r="I17" s="26" t="inlineStr">
        <is>
          <t>1月</t>
        </is>
      </c>
      <c r="J17" s="27" t="inlineStr">
        <is>
          <t>珣</t>
        </is>
      </c>
      <c r="K17" s="27" t="inlineStr">
        <is>
          <t>光·慧美·志郎·珣（+瑆 笔记）</t>
        </is>
      </c>
      <c r="L17" s="27" t="inlineStr">
        <is>
          <t>声学</t>
        </is>
      </c>
      <c r="M17" s="27" t="inlineStr">
        <is>
          <t>流体</t>
        </is>
      </c>
      <c r="N17" s="27" t="inlineStr">
        <is>
          <t>建筑</t>
        </is>
      </c>
      <c r="O17" s="29" t="inlineStr">
        <is>
          <t>开口位置 + 狭管加速 + 风啸效应</t>
        </is>
      </c>
      <c r="P17" s="28" t="inlineStr">
        <is>
          <t>微观</t>
        </is>
      </c>
      <c r="Q17" s="27" t="n"/>
      <c r="R17" s="26">
        <f>IF(COUNTIF($M$2:$M$51,M12)&gt;1,"⚠ 重复","唯一")</f>
        <v/>
      </c>
    </row>
    <row r="18" ht="15" customHeight="1" s="17">
      <c r="A18" t="inlineStr">
        <is>
          <t>A016</t>
        </is>
      </c>
      <c r="B18" t="inlineStr">
        <is>
          <t>⬜</t>
        </is>
      </c>
      <c r="C18" s="26" t="n">
        <v>12</v>
      </c>
      <c r="D18" s="27" t="inlineStr">
        <is>
          <t>浮かぶ氷</t>
        </is>
      </c>
      <c r="E18" s="27" t="inlineStr">
        <is>
          <t>浮起来的冰块</t>
        </is>
      </c>
      <c r="F18" s="26" t="inlineStr">
        <is>
          <t>I 组建期</t>
        </is>
      </c>
      <c r="G18" s="28" t="inlineStr">
        <is>
          <t>核心连载</t>
        </is>
      </c>
      <c r="H18" s="27" t="inlineStr">
        <is>
          <t>校园·给食</t>
        </is>
      </c>
      <c r="I18" s="26" t="inlineStr">
        <is>
          <t>2月</t>
        </is>
      </c>
      <c r="J18" s="27" t="inlineStr">
        <is>
          <t>慧美·志郎</t>
        </is>
      </c>
      <c r="K18" s="27" t="inlineStr">
        <is>
          <t>光·慧美·志郎·珣（+瑆 笔记）</t>
        </is>
      </c>
      <c r="L18" s="27" t="inlineStr">
        <is>
          <t>力学</t>
        </is>
      </c>
      <c r="M18" s="27" t="inlineStr">
        <is>
          <t>热学</t>
        </is>
      </c>
      <c r="N18" s="27" t="inlineStr">
        <is>
          <t>材料</t>
        </is>
      </c>
      <c r="O18" s="29" t="inlineStr">
        <is>
          <t>密度差 + 浮力 + 融化吸热</t>
        </is>
      </c>
      <c r="P18" s="28" t="inlineStr">
        <is>
          <t>实验</t>
        </is>
      </c>
      <c r="Q18" s="27" t="n"/>
      <c r="R18" s="26">
        <f>IF(COUNTIF($M$2:$M$51,M13)&gt;1,"⚠ 重复","唯一")</f>
        <v/>
      </c>
    </row>
    <row r="19" ht="15" customHeight="1" s="17">
      <c r="A19" t="inlineStr">
        <is>
          <t>A017</t>
        </is>
      </c>
      <c r="B19" t="inlineStr">
        <is>
          <t>⬜ · ★L01</t>
        </is>
      </c>
      <c r="C19" s="21" t="n">
        <v>13</v>
      </c>
      <c r="D19" s="22" t="inlineStr">
        <is>
          <t>葛西さんの古地図</t>
        </is>
      </c>
      <c r="E19" s="22" t="inlineStr">
        <is>
          <t>葛西爷爷的旧地图</t>
        </is>
      </c>
      <c r="F19" s="21" t="inlineStr">
        <is>
          <t>I 组建期</t>
        </is>
      </c>
      <c r="G19" s="23" t="inlineStr">
        <is>
          <t>核心连载</t>
        </is>
      </c>
      <c r="H19" s="22" t="inlineStr">
        <is>
          <t>社区</t>
        </is>
      </c>
      <c r="I19" s="21" t="inlineStr">
        <is>
          <t>3月</t>
        </is>
      </c>
      <c r="J19" s="22" t="inlineStr">
        <is>
          <t>葛西·珣</t>
        </is>
      </c>
      <c r="K19" s="22" t="inlineStr">
        <is>
          <t>光·慧美·志郎·珣·葛西（+瑆 笔记）</t>
        </is>
      </c>
      <c r="L19" s="22" t="inlineStr">
        <is>
          <t>地理</t>
        </is>
      </c>
      <c r="M19" s="22" t="inlineStr">
        <is>
          <t>历史</t>
        </is>
      </c>
      <c r="N19" s="22" t="inlineStr">
        <is>
          <t>光学</t>
        </is>
      </c>
      <c r="O19" s="24" t="inlineStr">
        <is>
          <t>地图比例尺 + 地貌变迁 + 颜料褪色</t>
        </is>
      </c>
      <c r="P19" s="23" t="inlineStr">
        <is>
          <t>溯源+人际</t>
        </is>
      </c>
      <c r="Q19" s="22" t="inlineStr">
        <is>
          <t>种子①(旧地图)</t>
        </is>
      </c>
      <c r="R19" s="21">
        <f>IF(COUNTIF($M$2:$M$51,M14)&gt;1,"⚠ 重复","唯一")</f>
        <v/>
      </c>
    </row>
    <row r="20" ht="15" customHeight="1" s="17">
      <c r="A20" t="inlineStr">
        <is>
          <t>A018</t>
        </is>
      </c>
      <c r="B20" t="inlineStr">
        <is>
          <t>⬜</t>
        </is>
      </c>
      <c r="C20" s="26" t="n">
        <v>14</v>
      </c>
      <c r="D20" s="27" t="inlineStr">
        <is>
          <t>曲がるストロー</t>
        </is>
      </c>
      <c r="E20" s="27" t="inlineStr">
        <is>
          <t>弯曲的吸管</t>
        </is>
      </c>
      <c r="F20" s="26" t="inlineStr">
        <is>
          <t>I 组建期</t>
        </is>
      </c>
      <c r="G20" s="28" t="inlineStr">
        <is>
          <t>外延单元</t>
        </is>
      </c>
      <c r="H20" s="27" t="inlineStr">
        <is>
          <t>家庭</t>
        </is>
      </c>
      <c r="I20" s="26" t="inlineStr">
        <is>
          <t>4月</t>
        </is>
      </c>
      <c r="J20" s="27" t="inlineStr">
        <is>
          <t>珣·瑆</t>
        </is>
      </c>
      <c r="K20" s="27" t="inlineStr">
        <is>
          <t>光·慧美·志郎·珣（+瑆 笔记）</t>
        </is>
      </c>
      <c r="L20" s="27" t="inlineStr">
        <is>
          <t>光学</t>
        </is>
      </c>
      <c r="M20" s="27" t="inlineStr">
        <is>
          <t>流体</t>
        </is>
      </c>
      <c r="N20" s="27" t="inlineStr">
        <is>
          <t>感知</t>
        </is>
      </c>
      <c r="O20" s="29" t="inlineStr">
        <is>
          <t>折射 + 液面 + 视错觉</t>
        </is>
      </c>
      <c r="P20" s="28" t="inlineStr">
        <is>
          <t>感知预热</t>
        </is>
      </c>
      <c r="Q20" s="27" t="n"/>
      <c r="R20" s="26">
        <f>IF(COUNTIF($M$2:$M$51,M15)&gt;1,"⚠ 重复","唯一")</f>
        <v/>
      </c>
    </row>
    <row r="21" ht="15" customHeight="1" s="17">
      <c r="A21" t="inlineStr">
        <is>
          <t>A019</t>
        </is>
      </c>
      <c r="B21" t="inlineStr">
        <is>
          <t>⬜</t>
        </is>
      </c>
      <c r="C21" s="26" t="n">
        <v>15</v>
      </c>
      <c r="D21" s="27" t="inlineStr">
        <is>
          <t>におう教室</t>
        </is>
      </c>
      <c r="E21" s="27" t="inlineStr">
        <is>
          <t>有味道的教室</t>
        </is>
      </c>
      <c r="F21" s="26" t="inlineStr">
        <is>
          <t>I 组建期</t>
        </is>
      </c>
      <c r="G21" s="28" t="inlineStr">
        <is>
          <t>核心连载</t>
        </is>
      </c>
      <c r="H21" s="27" t="inlineStr">
        <is>
          <t>校园</t>
        </is>
      </c>
      <c r="I21" s="26" t="inlineStr">
        <is>
          <t>5月</t>
        </is>
      </c>
      <c r="J21" s="27" t="inlineStr">
        <is>
          <t>慧美</t>
        </is>
      </c>
      <c r="K21" s="27" t="inlineStr">
        <is>
          <t>光·慧美·志郎·珣（+瑆 笔记）</t>
        </is>
      </c>
      <c r="L21" s="27" t="inlineStr">
        <is>
          <t>食品化学</t>
        </is>
      </c>
      <c r="M21" s="27" t="inlineStr">
        <is>
          <t>微生物</t>
        </is>
      </c>
      <c r="N21" s="27" t="inlineStr">
        <is>
          <t>气象</t>
        </is>
      </c>
      <c r="O21" s="29" t="inlineStr">
        <is>
          <t>发酵气味 + 菌群 + 通风对流</t>
        </is>
      </c>
      <c r="P21" s="28" t="inlineStr">
        <is>
          <t>实验</t>
        </is>
      </c>
      <c r="Q21" s="27" t="n"/>
      <c r="R21" s="26">
        <f>IF(COUNTIF($M$2:$M$51,M16)&gt;1,"⚠ 重复","唯一")</f>
        <v/>
      </c>
    </row>
    <row r="22" ht="29.85" customHeight="1" s="17">
      <c r="A22" t="inlineStr">
        <is>
          <t>A020</t>
        </is>
      </c>
      <c r="B22" t="inlineStr">
        <is>
          <t>⬜</t>
        </is>
      </c>
      <c r="C22" s="26" t="n">
        <v>16</v>
      </c>
      <c r="D22" s="27" t="inlineStr">
        <is>
          <t>影絵の怪</t>
        </is>
      </c>
      <c r="E22" s="27" t="inlineStr">
        <is>
          <t>影子戏的怪影</t>
        </is>
      </c>
      <c r="F22" s="26" t="inlineStr">
        <is>
          <t>I 组建期</t>
        </is>
      </c>
      <c r="G22" s="28" t="inlineStr">
        <is>
          <t>核心连载</t>
        </is>
      </c>
      <c r="H22" s="27" t="inlineStr">
        <is>
          <t>校园·社区</t>
        </is>
      </c>
      <c r="I22" s="26" t="inlineStr">
        <is>
          <t>6月</t>
        </is>
      </c>
      <c r="J22" s="27" t="inlineStr">
        <is>
          <t>珣</t>
        </is>
      </c>
      <c r="K22" s="27" t="inlineStr">
        <is>
          <t>光·慧美·志郎·珣（+瑆 笔记）</t>
        </is>
      </c>
      <c r="L22" s="27" t="inlineStr">
        <is>
          <t>光学</t>
        </is>
      </c>
      <c r="M22" s="27" t="inlineStr">
        <is>
          <t>几何</t>
        </is>
      </c>
      <c r="N22" s="27" t="inlineStr">
        <is>
          <t>感知</t>
        </is>
      </c>
      <c r="O22" s="29" t="inlineStr">
        <is>
          <t>多光源影 + 投影几何 + 视错觉</t>
        </is>
      </c>
      <c r="P22" s="28" t="inlineStr">
        <is>
          <t>感知</t>
        </is>
      </c>
      <c r="Q22" s="27" t="n"/>
      <c r="R22" s="26">
        <f>IF(COUNTIF($M$2:$M$51,M17)&gt;1,"⚠ 重复","唯一")</f>
        <v/>
      </c>
    </row>
    <row r="23" ht="15" customHeight="1" s="17">
      <c r="A23" t="inlineStr">
        <is>
          <t>A021</t>
        </is>
      </c>
      <c r="B23" t="inlineStr">
        <is>
          <t>⬜</t>
        </is>
      </c>
      <c r="C23" s="26" t="n">
        <v>17</v>
      </c>
      <c r="D23" s="27" t="inlineStr">
        <is>
          <t>動く植木</t>
        </is>
      </c>
      <c r="E23" s="27" t="inlineStr">
        <is>
          <t>会动的盆栽</t>
        </is>
      </c>
      <c r="F23" s="26" t="inlineStr">
        <is>
          <t>I 组建期</t>
        </is>
      </c>
      <c r="G23" s="28" t="inlineStr">
        <is>
          <t>核心连载</t>
        </is>
      </c>
      <c r="H23" s="27" t="inlineStr">
        <is>
          <t>校园·植物角</t>
        </is>
      </c>
      <c r="I23" s="26" t="inlineStr">
        <is>
          <t>7月</t>
        </is>
      </c>
      <c r="J23" s="27" t="inlineStr">
        <is>
          <t>珣</t>
        </is>
      </c>
      <c r="K23" s="27" t="inlineStr">
        <is>
          <t>光·慧美·志郎·珣（+瑆 笔记）</t>
        </is>
      </c>
      <c r="L23" s="27" t="inlineStr">
        <is>
          <t>植物</t>
        </is>
      </c>
      <c r="M23" s="27" t="inlineStr">
        <is>
          <t>光学</t>
        </is>
      </c>
      <c r="N23" s="27" t="inlineStr">
        <is>
          <t>生物</t>
        </is>
      </c>
      <c r="O23" s="29" t="inlineStr">
        <is>
          <t>光周期 + 向光性 + 膨压运动</t>
        </is>
      </c>
      <c r="P23" s="28" t="inlineStr">
        <is>
          <t>微观</t>
        </is>
      </c>
      <c r="Q23" s="27" t="n"/>
      <c r="R23" s="26">
        <f>IF(COUNTIF($M$2:$M$51,M18)&gt;1,"⚠ 重复","唯一")</f>
        <v/>
      </c>
    </row>
    <row r="24" ht="15" customHeight="1" s="17">
      <c r="A24" t="inlineStr">
        <is>
          <t>A022</t>
        </is>
      </c>
      <c r="B24" t="inlineStr">
        <is>
          <t>⬜</t>
        </is>
      </c>
      <c r="C24" s="26" t="n">
        <v>18</v>
      </c>
      <c r="D24" s="27" t="inlineStr">
        <is>
          <t>鳥のものまね</t>
        </is>
      </c>
      <c r="E24" s="27" t="inlineStr">
        <is>
          <t>鸟的口技</t>
        </is>
      </c>
      <c r="F24" s="26" t="inlineStr">
        <is>
          <t>I 组建期</t>
        </is>
      </c>
      <c r="G24" s="28" t="inlineStr">
        <is>
          <t>外延单元</t>
        </is>
      </c>
      <c r="H24" s="27" t="inlineStr">
        <is>
          <t>社区·公园</t>
        </is>
      </c>
      <c r="I24" s="26" t="inlineStr">
        <is>
          <t>9月</t>
        </is>
      </c>
      <c r="J24" s="27" t="inlineStr">
        <is>
          <t>珣</t>
        </is>
      </c>
      <c r="K24" s="27" t="inlineStr">
        <is>
          <t>光·慧美·志郎·珣（+瑆 笔记）</t>
        </is>
      </c>
      <c r="L24" s="27" t="inlineStr">
        <is>
          <t>动物</t>
        </is>
      </c>
      <c r="M24" s="27" t="inlineStr">
        <is>
          <t>声学</t>
        </is>
      </c>
      <c r="N24" s="27" t="inlineStr">
        <is>
          <t>人体</t>
        </is>
      </c>
      <c r="O24" s="29" t="inlineStr">
        <is>
          <t>听觉范围 + 声音频率 + 鸟类发声</t>
        </is>
      </c>
      <c r="P24" s="28" t="inlineStr">
        <is>
          <t>微观</t>
        </is>
      </c>
      <c r="Q24" s="27" t="n"/>
      <c r="R24" s="26">
        <f>IF(COUNTIF($M$2:$M$51,M19)&gt;1,"⚠ 重复","唯一")</f>
        <v/>
      </c>
    </row>
    <row r="25" ht="15" customHeight="1" s="17">
      <c r="A25" t="inlineStr">
        <is>
          <t>A023</t>
        </is>
      </c>
      <c r="B25" t="inlineStr">
        <is>
          <t>⬜</t>
        </is>
      </c>
      <c r="C25" s="26" t="n">
        <v>19</v>
      </c>
      <c r="D25" s="27" t="inlineStr">
        <is>
          <t>濡れない傘</t>
        </is>
      </c>
      <c r="E25" s="27" t="inlineStr">
        <is>
          <t>淋不湿的伞</t>
        </is>
      </c>
      <c r="F25" s="26" t="inlineStr">
        <is>
          <t>I 组建期</t>
        </is>
      </c>
      <c r="G25" s="28" t="inlineStr">
        <is>
          <t>外延单元</t>
        </is>
      </c>
      <c r="H25" s="27" t="inlineStr">
        <is>
          <t>家庭</t>
        </is>
      </c>
      <c r="I25" s="26" t="inlineStr">
        <is>
          <t>10月秋雨</t>
        </is>
      </c>
      <c r="J25" s="27" t="inlineStr">
        <is>
          <t>志郎</t>
        </is>
      </c>
      <c r="K25" s="27" t="inlineStr">
        <is>
          <t>光·慧美·志郎·珣（+瑆 笔记）</t>
        </is>
      </c>
      <c r="L25" s="27" t="inlineStr">
        <is>
          <t>材料</t>
        </is>
      </c>
      <c r="M25" s="27" t="inlineStr">
        <is>
          <t>流体</t>
        </is>
      </c>
      <c r="N25" s="27" t="inlineStr">
        <is>
          <t>化学</t>
        </is>
      </c>
      <c r="O25" s="29" t="inlineStr">
        <is>
          <t>涂层化学 + 疏水表面 + 表面张力</t>
        </is>
      </c>
      <c r="P25" s="28" t="inlineStr">
        <is>
          <t>结构</t>
        </is>
      </c>
      <c r="Q25" s="27" t="n"/>
      <c r="R25" s="26">
        <f>IF(COUNTIF($M$2:$M$51,M20)&gt;1,"⚠ 重复","唯一")</f>
        <v/>
      </c>
    </row>
    <row r="26" ht="15" customHeight="1" s="17">
      <c r="A26" t="inlineStr">
        <is>
          <t>A024</t>
        </is>
      </c>
      <c r="B26" t="inlineStr">
        <is>
          <t>⬜</t>
        </is>
      </c>
      <c r="C26" s="26" t="n">
        <v>20</v>
      </c>
      <c r="D26" s="27" t="inlineStr">
        <is>
          <t>消えた虹</t>
        </is>
      </c>
      <c r="E26" s="27" t="inlineStr">
        <is>
          <t>消失的彩虹</t>
        </is>
      </c>
      <c r="F26" s="26" t="inlineStr">
        <is>
          <t>I 组建期</t>
        </is>
      </c>
      <c r="G26" s="28" t="inlineStr">
        <is>
          <t>核心连载</t>
        </is>
      </c>
      <c r="H26" s="27" t="inlineStr">
        <is>
          <t>校园</t>
        </is>
      </c>
      <c r="I26" s="26" t="inlineStr">
        <is>
          <t>11月</t>
        </is>
      </c>
      <c r="J26" s="27" t="inlineStr">
        <is>
          <t>慧美·珣</t>
        </is>
      </c>
      <c r="K26" s="27" t="inlineStr">
        <is>
          <t>光·慧美·志郎·珣（+瑆 笔记）</t>
        </is>
      </c>
      <c r="L26" s="27" t="inlineStr">
        <is>
          <t>光学</t>
        </is>
      </c>
      <c r="M26" s="27" t="inlineStr">
        <is>
          <t>气象</t>
        </is>
      </c>
      <c r="N26" s="27" t="inlineStr">
        <is>
          <t>几何</t>
        </is>
      </c>
      <c r="O26" s="29" t="inlineStr">
        <is>
          <t>太阳角 + 水滴折射 + 色散</t>
        </is>
      </c>
      <c r="P26" s="28" t="inlineStr">
        <is>
          <t>实验+微观</t>
        </is>
      </c>
      <c r="Q26" s="27" t="n"/>
      <c r="R26" s="26">
        <f>IF(COUNTIF($M$2:$M$51,M21)&gt;1,"⚠ 重复","唯一")</f>
        <v/>
      </c>
    </row>
    <row r="27" ht="15" customHeight="1" s="17">
      <c r="A27" t="inlineStr">
        <is>
          <t>B001</t>
        </is>
      </c>
      <c r="B27" t="inlineStr">
        <is>
          <t>⬜</t>
        </is>
      </c>
      <c r="C27" s="26" t="n">
        <v>21</v>
      </c>
      <c r="D27" s="27" t="inlineStr">
        <is>
          <t>名古屋城のしゃちほこ</t>
        </is>
      </c>
      <c r="E27" s="27" t="inlineStr">
        <is>
          <t>名古屋城的金鯱</t>
        </is>
      </c>
      <c r="F27" s="26" t="inlineStr">
        <is>
          <t>I 组建期</t>
        </is>
      </c>
      <c r="G27" s="28" t="inlineStr">
        <is>
          <t>外延单元</t>
        </is>
      </c>
      <c r="H27" s="27" t="inlineStr">
        <is>
          <t>城市特典·远足</t>
        </is>
      </c>
      <c r="I27" s="26" t="inlineStr">
        <is>
          <t>4月</t>
        </is>
      </c>
      <c r="J27" s="27" t="inlineStr">
        <is>
          <t>志郎·珣</t>
        </is>
      </c>
      <c r="K27" s="27" t="inlineStr">
        <is>
          <t>光·慧美·志郎·珣（+瑆 笔记）</t>
        </is>
      </c>
      <c r="L27" s="27" t="inlineStr">
        <is>
          <t>建筑</t>
        </is>
      </c>
      <c r="M27" s="27" t="inlineStr">
        <is>
          <t>材料</t>
        </is>
      </c>
      <c r="N27" s="27" t="inlineStr">
        <is>
          <t>历史</t>
        </is>
      </c>
      <c r="O27" s="29" t="inlineStr">
        <is>
          <t>抗震结构 + 避雷原理 + 金属氧化</t>
        </is>
      </c>
      <c r="P27" s="28" t="inlineStr">
        <is>
          <t>结构+溯源</t>
        </is>
      </c>
      <c r="Q27" s="27" t="n"/>
      <c r="R27" s="26">
        <f>IF(COUNTIF($M$2:$M$51,M22)&gt;1,"⚠ 重复","唯一")</f>
        <v/>
      </c>
    </row>
    <row r="28" ht="15" customHeight="1" s="17">
      <c r="A28" t="inlineStr">
        <is>
          <t>B002</t>
        </is>
      </c>
      <c r="B28" t="inlineStr">
        <is>
          <t>⬜</t>
        </is>
      </c>
      <c r="C28" s="26" t="n">
        <v>22</v>
      </c>
      <c r="D28" s="27" t="inlineStr">
        <is>
          <t>熱田の森</t>
        </is>
      </c>
      <c r="E28" s="27" t="inlineStr">
        <is>
          <t>热田神宫的森林</t>
        </is>
      </c>
      <c r="F28" s="26" t="inlineStr">
        <is>
          <t>I 组建期</t>
        </is>
      </c>
      <c r="G28" s="28" t="inlineStr">
        <is>
          <t>外延单元</t>
        </is>
      </c>
      <c r="H28" s="27" t="inlineStr">
        <is>
          <t>城市特典·远足</t>
        </is>
      </c>
      <c r="I28" s="26" t="inlineStr">
        <is>
          <t>5月</t>
        </is>
      </c>
      <c r="J28" s="27" t="inlineStr">
        <is>
          <t>珣</t>
        </is>
      </c>
      <c r="K28" s="27" t="inlineStr">
        <is>
          <t>光·慧美·志郎·珣（+瑆 笔记）</t>
        </is>
      </c>
      <c r="L28" s="27" t="inlineStr">
        <is>
          <t>生物</t>
        </is>
      </c>
      <c r="M28" s="27" t="inlineStr">
        <is>
          <t>气象</t>
        </is>
      </c>
      <c r="N28" s="27" t="inlineStr">
        <is>
          <t>声学</t>
        </is>
      </c>
      <c r="O28" s="29" t="inlineStr">
        <is>
          <t>树冠隔音 + 森林微气候 + 空气湿度</t>
        </is>
      </c>
      <c r="P28" s="28" t="inlineStr">
        <is>
          <t>微观</t>
        </is>
      </c>
      <c r="Q28" s="27" t="n"/>
      <c r="R28" s="26">
        <f>IF(COUNTIF($M$2:$M$51,M23)&gt;1,"⚠ 重复","唯一")</f>
        <v/>
      </c>
    </row>
    <row r="29" ht="15" customHeight="1" s="17">
      <c r="A29" t="inlineStr">
        <is>
          <t>B003</t>
        </is>
      </c>
      <c r="B29" t="inlineStr">
        <is>
          <t>⬜</t>
        </is>
      </c>
      <c r="C29" s="26" t="n">
        <v>23</v>
      </c>
      <c r="D29" s="27" t="inlineStr">
        <is>
          <t>犬山城の天守</t>
        </is>
      </c>
      <c r="E29" s="27" t="inlineStr">
        <is>
          <t>犬山城天守</t>
        </is>
      </c>
      <c r="F29" s="26" t="inlineStr">
        <is>
          <t>I 组建期</t>
        </is>
      </c>
      <c r="G29" s="28" t="inlineStr">
        <is>
          <t>外延单元</t>
        </is>
      </c>
      <c r="H29" s="27" t="inlineStr">
        <is>
          <t>城市特典·修学旅行</t>
        </is>
      </c>
      <c r="I29" s="26" t="inlineStr">
        <is>
          <t>6月</t>
        </is>
      </c>
      <c r="J29" s="27" t="inlineStr">
        <is>
          <t>志郎·珣</t>
        </is>
      </c>
      <c r="K29" s="27" t="inlineStr">
        <is>
          <t>光·慧美·志郎·珣（+瑆 笔记）</t>
        </is>
      </c>
      <c r="L29" s="27" t="inlineStr">
        <is>
          <t>力学</t>
        </is>
      </c>
      <c r="M29" s="27" t="inlineStr">
        <is>
          <t>建筑</t>
        </is>
      </c>
      <c r="N29" s="27" t="inlineStr">
        <is>
          <t>工程</t>
        </is>
      </c>
      <c r="O29" s="29" t="inlineStr">
        <is>
          <t>抗震阻尼 + 木构榫卯 + 重心平衡</t>
        </is>
      </c>
      <c r="P29" s="28" t="inlineStr">
        <is>
          <t>结构还原</t>
        </is>
      </c>
      <c r="Q29" s="27" t="n"/>
      <c r="R29" s="26">
        <f>IF(COUNTIF($M$2:$M$51,M24)&gt;1,"⚠ 重复","唯一")</f>
        <v/>
      </c>
    </row>
    <row r="30" ht="15" customHeight="1" s="17">
      <c r="A30" t="inlineStr">
        <is>
          <t>B004</t>
        </is>
      </c>
      <c r="B30" t="inlineStr">
        <is>
          <t>⬜</t>
        </is>
      </c>
      <c r="C30" s="26" t="n">
        <v>24</v>
      </c>
      <c r="D30" s="27" t="inlineStr">
        <is>
          <t>リニア館の磁気</t>
        </is>
      </c>
      <c r="E30" s="27" t="inlineStr">
        <is>
          <t>磁浮馆的磁力</t>
        </is>
      </c>
      <c r="F30" s="26" t="inlineStr">
        <is>
          <t>I 组建期</t>
        </is>
      </c>
      <c r="G30" s="28" t="inlineStr">
        <is>
          <t>外延单元</t>
        </is>
      </c>
      <c r="H30" s="27" t="inlineStr">
        <is>
          <t>城市特典·科学馆</t>
        </is>
      </c>
      <c r="I30" s="26" t="inlineStr">
        <is>
          <t>7月</t>
        </is>
      </c>
      <c r="J30" s="27" t="inlineStr">
        <is>
          <t>慧美·珣</t>
        </is>
      </c>
      <c r="K30" s="27" t="inlineStr">
        <is>
          <t>光·慧美·志郎·珣（+瑆 笔记）</t>
        </is>
      </c>
      <c r="L30" s="27" t="inlineStr">
        <is>
          <t>电磁</t>
        </is>
      </c>
      <c r="M30" s="27" t="inlineStr">
        <is>
          <t>工程</t>
        </is>
      </c>
      <c r="N30" s="27" t="inlineStr">
        <is>
          <t>力学</t>
        </is>
      </c>
      <c r="O30" s="29" t="inlineStr">
        <is>
          <t>涡流 + 电磁感应 + 磁悬浮</t>
        </is>
      </c>
      <c r="P30" s="28" t="inlineStr">
        <is>
          <t>实验</t>
        </is>
      </c>
      <c r="Q30" s="27" t="n"/>
      <c r="R30" s="26">
        <f>IF(COUNTIF($M$2:$M$51,M25)&gt;1,"⚠ 重复","唯一")</f>
        <v/>
      </c>
    </row>
    <row r="31" ht="29.85" customHeight="1" s="17">
      <c r="A31" t="inlineStr">
        <is>
          <t>B005</t>
        </is>
      </c>
      <c r="B31" t="inlineStr">
        <is>
          <t>⬜</t>
        </is>
      </c>
      <c r="C31" s="26" t="n">
        <v>25</v>
      </c>
      <c r="D31" s="27" t="inlineStr">
        <is>
          <t>動物園の鳴き声</t>
        </is>
      </c>
      <c r="E31" s="27" t="inlineStr">
        <is>
          <t>东山动物园的叫声</t>
        </is>
      </c>
      <c r="F31" s="26" t="inlineStr">
        <is>
          <t>I 组建期</t>
        </is>
      </c>
      <c r="G31" s="28" t="inlineStr">
        <is>
          <t>外延单元</t>
        </is>
      </c>
      <c r="H31" s="27" t="inlineStr">
        <is>
          <t>城市特典</t>
        </is>
      </c>
      <c r="I31" s="26" t="inlineStr">
        <is>
          <t>8月</t>
        </is>
      </c>
      <c r="J31" s="27" t="inlineStr">
        <is>
          <t>珣</t>
        </is>
      </c>
      <c r="K31" s="27" t="inlineStr">
        <is>
          <t>光·慧美·志郎·珣（+瑆 笔记）</t>
        </is>
      </c>
      <c r="L31" s="27" t="inlineStr">
        <is>
          <t>动物</t>
        </is>
      </c>
      <c r="M31" s="27" t="inlineStr">
        <is>
          <t>声学</t>
        </is>
      </c>
      <c r="N31" s="27" t="inlineStr">
        <is>
          <t>行为</t>
        </is>
      </c>
      <c r="O31" s="29" t="inlineStr">
        <is>
          <t>共鸣腔 + 动物发声 + 行为信号</t>
        </is>
      </c>
      <c r="P31" s="28" t="inlineStr">
        <is>
          <t>微观</t>
        </is>
      </c>
      <c r="Q31" s="27" t="n"/>
      <c r="R31" s="26">
        <f>IF(COUNTIF($M$2:$M$51,M26)&gt;1,"⚠ 重复","唯一")</f>
        <v/>
      </c>
    </row>
    <row r="32" ht="15" customHeight="1" s="17">
      <c r="A32" t="inlineStr">
        <is>
          <t>B006</t>
        </is>
      </c>
      <c r="B32" t="inlineStr">
        <is>
          <t>⬜</t>
        </is>
      </c>
      <c r="C32" s="26" t="n">
        <v>26</v>
      </c>
      <c r="D32" s="27" t="inlineStr">
        <is>
          <t>プラネタリウムの北</t>
        </is>
      </c>
      <c r="E32" s="27" t="inlineStr">
        <is>
          <t>天文馆的北方</t>
        </is>
      </c>
      <c r="F32" s="26" t="inlineStr">
        <is>
          <t>I 组建期</t>
        </is>
      </c>
      <c r="G32" s="28" t="inlineStr">
        <is>
          <t>外延单元</t>
        </is>
      </c>
      <c r="H32" s="27" t="inlineStr">
        <is>
          <t>城市特典·天文</t>
        </is>
      </c>
      <c r="I32" s="26" t="inlineStr">
        <is>
          <t>9月</t>
        </is>
      </c>
      <c r="J32" s="27" t="inlineStr">
        <is>
          <t>慧美·珣</t>
        </is>
      </c>
      <c r="K32" s="27" t="inlineStr">
        <is>
          <t>光·慧美·志郎·珣（+瑆 笔记）</t>
        </is>
      </c>
      <c r="L32" s="27" t="inlineStr">
        <is>
          <t>天文</t>
        </is>
      </c>
      <c r="M32" s="27" t="inlineStr">
        <is>
          <t>地理</t>
        </is>
      </c>
      <c r="N32" s="27" t="inlineStr">
        <is>
          <t>数学</t>
        </is>
      </c>
      <c r="O32" s="29" t="inlineStr">
        <is>
          <t>北极星定位 + 周日视运动 + 极轴</t>
        </is>
      </c>
      <c r="P32" s="28" t="inlineStr">
        <is>
          <t>实验</t>
        </is>
      </c>
      <c r="Q32" s="27" t="n"/>
      <c r="R32" s="26">
        <f>IF(COUNTIF($M$2:$M$51,M27)&gt;1,"⚠ 重复","唯一")</f>
        <v/>
      </c>
    </row>
    <row r="33" ht="15" customHeight="1" s="17">
      <c r="A33" t="inlineStr">
        <is>
          <t>B007</t>
        </is>
      </c>
      <c r="B33" t="inlineStr">
        <is>
          <t>⬜ · ★</t>
        </is>
      </c>
      <c r="C33" s="21" t="n">
        <v>27</v>
      </c>
      <c r="D33" s="22" t="inlineStr">
        <is>
          <t>美術館の青</t>
        </is>
      </c>
      <c r="E33" s="22" t="inlineStr">
        <is>
          <t>美术馆的蓝色</t>
        </is>
      </c>
      <c r="F33" s="21" t="inlineStr">
        <is>
          <t>I 组建期</t>
        </is>
      </c>
      <c r="G33" s="23" t="inlineStr">
        <is>
          <t>外延单元</t>
        </is>
      </c>
      <c r="H33" s="22" t="inlineStr">
        <is>
          <t>城市特典·主题</t>
        </is>
      </c>
      <c r="I33" s="21" t="inlineStr">
        <is>
          <t>10月</t>
        </is>
      </c>
      <c r="J33" s="22" t="inlineStr">
        <is>
          <t>珣</t>
        </is>
      </c>
      <c r="K33" s="22" t="inlineStr">
        <is>
          <t>光·慧美·志郎·珣（+瑆 笔记）</t>
        </is>
      </c>
      <c r="L33" s="22" t="inlineStr">
        <is>
          <t>色彩</t>
        </is>
      </c>
      <c r="M33" s="22" t="inlineStr">
        <is>
          <t>化学</t>
        </is>
      </c>
      <c r="N33" s="22" t="inlineStr">
        <is>
          <t>光学</t>
        </is>
      </c>
      <c r="O33" s="24" t="inlineStr">
        <is>
          <t>光反射 + 光致变色 + 矿物颜料</t>
        </is>
      </c>
      <c r="P33" s="23" t="inlineStr">
        <is>
          <t>微观</t>
        </is>
      </c>
      <c r="Q33" s="22" t="inlineStr">
        <is>
          <t>种子②(矿物颜料)</t>
        </is>
      </c>
      <c r="R33" s="21">
        <f>IF(COUNTIF($M$2:$M$51,M28)&gt;1,"⚠ 重复","唯一")</f>
        <v/>
      </c>
    </row>
    <row r="34" ht="15" customHeight="1" s="17">
      <c r="A34" t="inlineStr">
        <is>
          <t>B008</t>
        </is>
      </c>
      <c r="B34" t="inlineStr">
        <is>
          <t>⬜</t>
        </is>
      </c>
      <c r="C34" s="26" t="n">
        <v>28</v>
      </c>
      <c r="D34" s="27" t="inlineStr">
        <is>
          <t>川の四六分水</t>
        </is>
      </c>
      <c r="E34" s="27" t="inlineStr">
        <is>
          <t>河边的四六分水</t>
        </is>
      </c>
      <c r="F34" s="26" t="inlineStr">
        <is>
          <t>I 组建期</t>
        </is>
      </c>
      <c r="G34" s="28" t="inlineStr">
        <is>
          <t>外延单元</t>
        </is>
      </c>
      <c r="H34" s="27" t="inlineStr">
        <is>
          <t>城市特典·治水</t>
        </is>
      </c>
      <c r="I34" s="26" t="inlineStr">
        <is>
          <t>11月</t>
        </is>
      </c>
      <c r="J34" s="27" t="inlineStr">
        <is>
          <t>志郎</t>
        </is>
      </c>
      <c r="K34" s="27" t="inlineStr">
        <is>
          <t>光·慧美·志郎·珣（+瑆 笔记）</t>
        </is>
      </c>
      <c r="L34" s="27" t="inlineStr">
        <is>
          <t>流体</t>
        </is>
      </c>
      <c r="M34" s="27" t="inlineStr">
        <is>
          <t>工程</t>
        </is>
      </c>
      <c r="N34" s="27" t="inlineStr">
        <is>
          <t>地理</t>
        </is>
      </c>
      <c r="O34" s="29" t="inlineStr">
        <is>
          <t>分水力学 + 河床形态 + 流速分配</t>
        </is>
      </c>
      <c r="P34" s="28" t="inlineStr">
        <is>
          <t>结构</t>
        </is>
      </c>
      <c r="Q34" s="27" t="n"/>
      <c r="R34" s="26">
        <f>IF(COUNTIF($M$2:$M$51,M29)&gt;1,"⚠ 重复","唯一")</f>
        <v/>
      </c>
    </row>
    <row r="35" ht="15" customHeight="1" s="17">
      <c r="A35" t="inlineStr">
        <is>
          <t>B009</t>
        </is>
      </c>
      <c r="B35" t="inlineStr">
        <is>
          <t>⬜</t>
        </is>
      </c>
      <c r="C35" s="26" t="n">
        <v>29</v>
      </c>
      <c r="D35" s="27" t="inlineStr">
        <is>
          <t>味噌蔵の温度</t>
        </is>
      </c>
      <c r="E35" s="27" t="inlineStr">
        <is>
          <t>味噌作坊的温度</t>
        </is>
      </c>
      <c r="F35" s="26" t="inlineStr">
        <is>
          <t>I 组建期</t>
        </is>
      </c>
      <c r="G35" s="28" t="inlineStr">
        <is>
          <t>外延单元</t>
        </is>
      </c>
      <c r="H35" s="27" t="inlineStr">
        <is>
          <t>城市特典·食农</t>
        </is>
      </c>
      <c r="I35" s="26" t="inlineStr">
        <is>
          <t>12月</t>
        </is>
      </c>
      <c r="J35" s="27" t="inlineStr">
        <is>
          <t>慧美</t>
        </is>
      </c>
      <c r="K35" s="27" t="inlineStr">
        <is>
          <t>光·慧美·志郎·珣（+瑆 笔记）</t>
        </is>
      </c>
      <c r="L35" s="27" t="inlineStr">
        <is>
          <t>食品化学</t>
        </is>
      </c>
      <c r="M35" s="27" t="inlineStr">
        <is>
          <t>微生物</t>
        </is>
      </c>
      <c r="N35" s="27" t="inlineStr">
        <is>
          <t>热学</t>
        </is>
      </c>
      <c r="O35" s="29" t="inlineStr">
        <is>
          <t>味噌发酵 + 恒温控制 + 熟成菌群</t>
        </is>
      </c>
      <c r="P35" s="28" t="inlineStr">
        <is>
          <t>实验</t>
        </is>
      </c>
      <c r="Q35" s="27" t="n"/>
      <c r="R35" s="26">
        <f>IF(COUNTIF($M$2:$M$51,M30)&gt;1,"⚠ 重复","唯一")</f>
        <v/>
      </c>
    </row>
    <row r="36" ht="15" customHeight="1" s="17">
      <c r="A36" t="inlineStr">
        <is>
          <t>B010</t>
        </is>
      </c>
      <c r="B36" t="inlineStr">
        <is>
          <t>⬜ · ★</t>
        </is>
      </c>
      <c r="C36" s="21" t="n">
        <v>30</v>
      </c>
      <c r="D36" s="22" t="inlineStr">
        <is>
          <t>古い鐘の音</t>
        </is>
      </c>
      <c r="E36" s="22" t="inlineStr">
        <is>
          <t>古寺的钟声</t>
        </is>
      </c>
      <c r="F36" s="21" t="inlineStr">
        <is>
          <t>I 组建期</t>
        </is>
      </c>
      <c r="G36" s="23" t="inlineStr">
        <is>
          <t>外延单元</t>
        </is>
      </c>
      <c r="H36" s="22" t="inlineStr">
        <is>
          <t>城市特典·历史</t>
        </is>
      </c>
      <c r="I36" s="21" t="inlineStr">
        <is>
          <t>1月初詣</t>
        </is>
      </c>
      <c r="J36" s="22" t="inlineStr">
        <is>
          <t>珣·葛西</t>
        </is>
      </c>
      <c r="K36" s="22" t="inlineStr">
        <is>
          <t>光·慧美·志郎·珣·葛西（+瑆 笔记）</t>
        </is>
      </c>
      <c r="L36" s="22" t="inlineStr">
        <is>
          <t>声学</t>
        </is>
      </c>
      <c r="M36" s="22" t="inlineStr">
        <is>
          <t>材料</t>
        </is>
      </c>
      <c r="N36" s="22" t="inlineStr">
        <is>
          <t>历史</t>
        </is>
      </c>
      <c r="O36" s="24" t="inlineStr">
        <is>
          <t>合金成分 + 声衰减 + 钟体共振</t>
        </is>
      </c>
      <c r="P36" s="23" t="inlineStr">
        <is>
          <t>微观+溯源</t>
        </is>
      </c>
      <c r="Q36" s="22" t="inlineStr">
        <is>
          <t>种子③(古钟合金)</t>
        </is>
      </c>
      <c r="R36" s="21">
        <f>IF(COUNTIF($M$2:$M$51,M31)&gt;1,"⚠ 重复","唯一")</f>
        <v/>
      </c>
    </row>
    <row r="37" ht="15" customHeight="1" s="17">
      <c r="A37" t="inlineStr">
        <is>
          <t>A025</t>
        </is>
      </c>
      <c r="B37" t="inlineStr">
        <is>
          <t>⬜</t>
        </is>
      </c>
      <c r="C37" s="26" t="n">
        <v>31</v>
      </c>
      <c r="D37" s="27" t="inlineStr">
        <is>
          <t>夏祭りの提灯</t>
        </is>
      </c>
      <c r="E37" s="27" t="inlineStr">
        <is>
          <t>夏日祭的灯笼</t>
        </is>
      </c>
      <c r="F37" s="26" t="inlineStr">
        <is>
          <t>I 组建期</t>
        </is>
      </c>
      <c r="G37" s="28" t="inlineStr">
        <is>
          <t>外延单元</t>
        </is>
      </c>
      <c r="H37" s="27" t="inlineStr">
        <is>
          <t>季节特别·祭典</t>
        </is>
      </c>
      <c r="I37" s="26" t="inlineStr">
        <is>
          <t>7月</t>
        </is>
      </c>
      <c r="J37" s="27" t="inlineStr">
        <is>
          <t>慧美·珣</t>
        </is>
      </c>
      <c r="K37" s="27" t="inlineStr">
        <is>
          <t>光·慧美·志郎·珣（+瑆 笔记）</t>
        </is>
      </c>
      <c r="L37" s="27" t="inlineStr">
        <is>
          <t>热学</t>
        </is>
      </c>
      <c r="M37" s="27" t="inlineStr">
        <is>
          <t>流体</t>
        </is>
      </c>
      <c r="N37" s="27" t="inlineStr">
        <is>
          <t>光学</t>
        </is>
      </c>
      <c r="O37" s="29" t="inlineStr">
        <is>
          <t>光晕散射 + 热对流 + 空气浮力</t>
        </is>
      </c>
      <c r="P37" s="28" t="inlineStr">
        <is>
          <t>实验</t>
        </is>
      </c>
      <c r="Q37" s="27" t="n"/>
      <c r="R37" s="26">
        <f>IF(COUNTIF($M$2:$M$51,M32)&gt;1,"⚠ 重复","唯一")</f>
        <v/>
      </c>
    </row>
    <row r="38" ht="15" customHeight="1" s="17">
      <c r="A38" t="inlineStr">
        <is>
          <t>A026</t>
        </is>
      </c>
      <c r="B38" t="inlineStr">
        <is>
          <t>⬜</t>
        </is>
      </c>
      <c r="C38" s="26" t="n">
        <v>32</v>
      </c>
      <c r="D38" s="27" t="inlineStr">
        <is>
          <t>花火の遅れ</t>
        </is>
      </c>
      <c r="E38" s="27" t="inlineStr">
        <is>
          <t>烟花的延迟</t>
        </is>
      </c>
      <c r="F38" s="26" t="inlineStr">
        <is>
          <t>I 组建期</t>
        </is>
      </c>
      <c r="G38" s="28" t="inlineStr">
        <is>
          <t>外延单元</t>
        </is>
      </c>
      <c r="H38" s="27" t="inlineStr">
        <is>
          <t>季节特别·祭典</t>
        </is>
      </c>
      <c r="I38" s="26" t="inlineStr">
        <is>
          <t>8月</t>
        </is>
      </c>
      <c r="J38" s="27" t="inlineStr">
        <is>
          <t>珣</t>
        </is>
      </c>
      <c r="K38" s="27" t="inlineStr">
        <is>
          <t>光·慧美·志郎·珣（+瑆 笔记）</t>
        </is>
      </c>
      <c r="L38" s="27" t="inlineStr">
        <is>
          <t>声学</t>
        </is>
      </c>
      <c r="M38" s="27" t="inlineStr">
        <is>
          <t>光学</t>
        </is>
      </c>
      <c r="N38" s="27" t="inlineStr">
        <is>
          <t>数学</t>
        </is>
      </c>
      <c r="O38" s="29" t="inlineStr">
        <is>
          <t>光速差 + 声速 + 测距计算</t>
        </is>
      </c>
      <c r="P38" s="28" t="inlineStr">
        <is>
          <t>微观+实验</t>
        </is>
      </c>
      <c r="Q38" s="27" t="n"/>
      <c r="R38" s="26">
        <f>IF(COUNTIF($M$2:$M$51,M33)&gt;1,"⚠ 重复","唯一")</f>
        <v/>
      </c>
    </row>
    <row r="39" ht="15" customHeight="1" s="17">
      <c r="A39" t="inlineStr">
        <is>
          <t>A027</t>
        </is>
      </c>
      <c r="B39" t="inlineStr">
        <is>
          <t>⬜</t>
        </is>
      </c>
      <c r="C39" s="26" t="n">
        <v>33</v>
      </c>
      <c r="D39" s="27" t="inlineStr">
        <is>
          <t>体育祭の白線</t>
        </is>
      </c>
      <c r="E39" s="27" t="inlineStr">
        <is>
          <t>运动会的白线</t>
        </is>
      </c>
      <c r="F39" s="26" t="inlineStr">
        <is>
          <t>I 组建期</t>
        </is>
      </c>
      <c r="G39" s="28" t="inlineStr">
        <is>
          <t>外延单元</t>
        </is>
      </c>
      <c r="H39" s="27" t="inlineStr">
        <is>
          <t>季节特别·校园</t>
        </is>
      </c>
      <c r="I39" s="26" t="inlineStr">
        <is>
          <t>9月运动会</t>
        </is>
      </c>
      <c r="J39" s="27" t="inlineStr">
        <is>
          <t>慧美·志郎</t>
        </is>
      </c>
      <c r="K39" s="27" t="inlineStr">
        <is>
          <t>光·慧美·志郎·珣（+瑆 笔记）</t>
        </is>
      </c>
      <c r="L39" s="27" t="inlineStr">
        <is>
          <t>化学</t>
        </is>
      </c>
      <c r="M39" s="27" t="inlineStr">
        <is>
          <t>材料</t>
        </is>
      </c>
      <c r="N39" s="27" t="inlineStr">
        <is>
          <t>几何</t>
        </is>
      </c>
      <c r="O39" s="29" t="inlineStr">
        <is>
          <t>直线测放 + 石灰反应 + 粉末附着</t>
        </is>
      </c>
      <c r="P39" s="28" t="inlineStr">
        <is>
          <t>实验</t>
        </is>
      </c>
      <c r="Q39" s="27" t="n"/>
      <c r="R39" s="26">
        <f>IF(COUNTIF($M$2:$M$51,M34)&gt;1,"⚠ 重复","唯一")</f>
        <v/>
      </c>
    </row>
    <row r="40" ht="15" customHeight="1" s="17">
      <c r="A40" t="inlineStr">
        <is>
          <t>A028</t>
        </is>
      </c>
      <c r="B40" t="inlineStr">
        <is>
          <t>⬜</t>
        </is>
      </c>
      <c r="C40" s="26" t="n">
        <v>34</v>
      </c>
      <c r="D40" s="27" t="inlineStr">
        <is>
          <t>落ち葉の渦</t>
        </is>
      </c>
      <c r="E40" s="27" t="inlineStr">
        <is>
          <t>落叶的漩涡</t>
        </is>
      </c>
      <c r="F40" s="26" t="inlineStr">
        <is>
          <t>I 组建期</t>
        </is>
      </c>
      <c r="G40" s="28" t="inlineStr">
        <is>
          <t>外延单元</t>
        </is>
      </c>
      <c r="H40" s="27" t="inlineStr">
        <is>
          <t>季节特别·秋</t>
        </is>
      </c>
      <c r="I40" s="26" t="inlineStr">
        <is>
          <t>11月</t>
        </is>
      </c>
      <c r="J40" s="27" t="inlineStr">
        <is>
          <t>珣</t>
        </is>
      </c>
      <c r="K40" s="27" t="inlineStr">
        <is>
          <t>光·慧美·志郎·珣（+瑆 笔记）</t>
        </is>
      </c>
      <c r="L40" s="27" t="inlineStr">
        <is>
          <t>流体</t>
        </is>
      </c>
      <c r="M40" s="27" t="inlineStr">
        <is>
          <t>气象</t>
        </is>
      </c>
      <c r="N40" s="27" t="inlineStr">
        <is>
          <t>力学</t>
        </is>
      </c>
      <c r="O40" s="29" t="inlineStr">
        <is>
          <t>卡门涡街 + 涡流脱落 + 风压</t>
        </is>
      </c>
      <c r="P40" s="28" t="inlineStr">
        <is>
          <t>微观</t>
        </is>
      </c>
      <c r="Q40" s="27" t="n"/>
      <c r="R40" s="26">
        <f>IF(COUNTIF($M$2:$M$51,M35)&gt;1,"⚠ 重复","唯一")</f>
        <v/>
      </c>
    </row>
    <row r="41" ht="15" customHeight="1" s="17">
      <c r="A41" t="inlineStr">
        <is>
          <t>C002</t>
        </is>
      </c>
      <c r="B41" t="inlineStr">
        <is>
          <t>⬜</t>
        </is>
      </c>
      <c r="C41" s="26" t="n">
        <v>35</v>
      </c>
      <c r="D41" s="27" t="inlineStr">
        <is>
          <t>給食のゼリー</t>
        </is>
      </c>
      <c r="E41" s="27" t="inlineStr">
        <is>
          <t>给食的果冻</t>
        </is>
      </c>
      <c r="F41" s="26" t="inlineStr">
        <is>
          <t>I 组建期</t>
        </is>
      </c>
      <c r="G41" s="28" t="inlineStr">
        <is>
          <t>外延单元</t>
        </is>
      </c>
      <c r="H41" s="27" t="inlineStr">
        <is>
          <t>主题专项·食品</t>
        </is>
      </c>
      <c r="I41" s="26" t="inlineStr">
        <is>
          <t>1月</t>
        </is>
      </c>
      <c r="J41" s="27" t="inlineStr">
        <is>
          <t>慧美</t>
        </is>
      </c>
      <c r="K41" s="27" t="inlineStr">
        <is>
          <t>光·慧美·志郎·珣（+瑆 笔记）</t>
        </is>
      </c>
      <c r="L41" s="27" t="inlineStr">
        <is>
          <t>食品化学</t>
        </is>
      </c>
      <c r="M41" s="27" t="inlineStr">
        <is>
          <t>材料</t>
        </is>
      </c>
      <c r="N41" s="27" t="inlineStr">
        <is>
          <t>生物</t>
        </is>
      </c>
      <c r="O41" s="29" t="inlineStr">
        <is>
          <t>凝胶化 + 温度控制 + 蛋白酶</t>
        </is>
      </c>
      <c r="P41" s="28" t="inlineStr">
        <is>
          <t>实验</t>
        </is>
      </c>
      <c r="Q41" s="27" t="n"/>
      <c r="R41" s="26">
        <f>IF(COUNTIF($M$2:$M$51,M36)&gt;1,"⚠ 重复","唯一")</f>
        <v/>
      </c>
    </row>
    <row r="42" ht="29.85" customHeight="1" s="17">
      <c r="A42" t="inlineStr">
        <is>
          <t>A029</t>
        </is>
      </c>
      <c r="B42" t="inlineStr">
        <is>
          <t>⬜</t>
        </is>
      </c>
      <c r="C42" s="26" t="n">
        <v>36</v>
      </c>
      <c r="D42" s="27" t="inlineStr">
        <is>
          <t>図書室の迷子本</t>
        </is>
      </c>
      <c r="E42" s="27" t="inlineStr">
        <is>
          <t>图书室的迷路书</t>
        </is>
      </c>
      <c r="F42" s="26" t="inlineStr">
        <is>
          <t>I 组建期</t>
        </is>
      </c>
      <c r="G42" s="28" t="inlineStr">
        <is>
          <t>外延单元</t>
        </is>
      </c>
      <c r="H42" s="27" t="inlineStr">
        <is>
          <t>主题专项·图书馆学</t>
        </is>
      </c>
      <c r="I42" s="26" t="inlineStr">
        <is>
          <t>2月</t>
        </is>
      </c>
      <c r="J42" s="27" t="inlineStr">
        <is>
          <t>瑆</t>
        </is>
      </c>
      <c r="K42" s="27" t="inlineStr">
        <is>
          <t>光·慧美·志郎·珣（+瑆 笔记）</t>
        </is>
      </c>
      <c r="L42" s="27" t="inlineStr">
        <is>
          <t>图书馆学</t>
        </is>
      </c>
      <c r="M42" s="27" t="inlineStr">
        <is>
          <t>逻辑</t>
        </is>
      </c>
      <c r="N42" s="27" t="inlineStr">
        <is>
          <t>心理</t>
        </is>
      </c>
      <c r="O42" s="29" t="inlineStr">
        <is>
          <t>借阅行为 + 图书分类 + 索书号系统</t>
        </is>
      </c>
      <c r="P42" s="28" t="inlineStr">
        <is>
          <t>人际+逻辑</t>
        </is>
      </c>
      <c r="Q42" s="27" t="n"/>
      <c r="R42" s="26">
        <f>IF(COUNTIF($M$2:$M$51,M37)&gt;1,"⚠ 重复","唯一")</f>
        <v/>
      </c>
    </row>
    <row r="43" ht="29.85" customHeight="1" s="17">
      <c r="A43" t="inlineStr">
        <is>
          <t>A030</t>
        </is>
      </c>
      <c r="B43" t="inlineStr">
        <is>
          <t>⬜</t>
        </is>
      </c>
      <c r="C43" s="26" t="n">
        <v>37</v>
      </c>
      <c r="D43" s="27" t="inlineStr">
        <is>
          <t>自由研究の失敗</t>
        </is>
      </c>
      <c r="E43" s="27" t="inlineStr">
        <is>
          <t>自由研究的失败</t>
        </is>
      </c>
      <c r="F43" s="26" t="inlineStr">
        <is>
          <t>I 组建期</t>
        </is>
      </c>
      <c r="G43" s="28" t="inlineStr">
        <is>
          <t>外延单元</t>
        </is>
      </c>
      <c r="H43" s="27" t="inlineStr">
        <is>
          <t>季节特别·暑假</t>
        </is>
      </c>
      <c r="I43" s="26" t="inlineStr">
        <is>
          <t>8月</t>
        </is>
      </c>
      <c r="J43" s="27" t="inlineStr">
        <is>
          <t>慧美</t>
        </is>
      </c>
      <c r="K43" s="27" t="inlineStr">
        <is>
          <t>光·慧美·志郎·珣（+瑆 笔记）</t>
        </is>
      </c>
      <c r="L43" s="27" t="inlineStr">
        <is>
          <t>实验方法</t>
        </is>
      </c>
      <c r="M43" s="27" t="inlineStr">
        <is>
          <t>数学</t>
        </is>
      </c>
      <c r="N43" s="27" t="inlineStr">
        <is>
          <t>逻辑</t>
        </is>
      </c>
      <c r="O43" s="29" t="inlineStr">
        <is>
          <t>实验误差 + 对照实验 + 概率思维</t>
        </is>
      </c>
      <c r="P43" s="28" t="inlineStr">
        <is>
          <t>实验</t>
        </is>
      </c>
      <c r="Q43" s="27" t="n"/>
      <c r="R43" s="26">
        <f>IF(COUNTIF($M$2:$M$51,M38)&gt;1,"⚠ 重复","唯一")</f>
        <v/>
      </c>
    </row>
    <row r="44" ht="29.85" customHeight="1" s="17">
      <c r="A44" t="inlineStr">
        <is>
          <t>A031</t>
        </is>
      </c>
      <c r="B44" t="inlineStr">
        <is>
          <t>⬜</t>
        </is>
      </c>
      <c r="C44" s="26" t="n">
        <v>38</v>
      </c>
      <c r="D44" s="27" t="inlineStr">
        <is>
          <t>雪の朝の足跡</t>
        </is>
      </c>
      <c r="E44" s="27" t="inlineStr">
        <is>
          <t>雪天早晨的脚印</t>
        </is>
      </c>
      <c r="F44" s="26" t="inlineStr">
        <is>
          <t>I 组建期</t>
        </is>
      </c>
      <c r="G44" s="28" t="inlineStr">
        <is>
          <t>外延单元</t>
        </is>
      </c>
      <c r="H44" s="27" t="inlineStr">
        <is>
          <t>季节特别·冬</t>
        </is>
      </c>
      <c r="I44" s="26" t="inlineStr">
        <is>
          <t>12月</t>
        </is>
      </c>
      <c r="J44" s="27" t="inlineStr">
        <is>
          <t>珣</t>
        </is>
      </c>
      <c r="K44" s="27" t="inlineStr">
        <is>
          <t>光·慧美·志郎·珣（+瑆 笔记）</t>
        </is>
      </c>
      <c r="L44" s="27" t="inlineStr">
        <is>
          <t>物态</t>
        </is>
      </c>
      <c r="M44" s="27" t="inlineStr">
        <is>
          <t>热学</t>
        </is>
      </c>
      <c r="N44" s="27" t="inlineStr">
        <is>
          <t>感知</t>
        </is>
      </c>
      <c r="O44" s="29" t="inlineStr">
        <is>
          <t>压力融化 + 痕迹错视 + 雪面热传导</t>
        </is>
      </c>
      <c r="P44" s="28" t="inlineStr">
        <is>
          <t>微观</t>
        </is>
      </c>
      <c r="Q44" s="27" t="n"/>
      <c r="R44" s="26">
        <f>IF(COUNTIF($M$2:$M$51,M39)&gt;1,"⚠ 重复","唯一")</f>
        <v/>
      </c>
    </row>
    <row r="45" ht="29.85" customHeight="1" s="17">
      <c r="A45" t="inlineStr">
        <is>
          <t>A032</t>
        </is>
      </c>
      <c r="B45" t="inlineStr">
        <is>
          <t>⬜</t>
        </is>
      </c>
      <c r="C45" s="26" t="n">
        <v>39</v>
      </c>
      <c r="D45" s="27" t="inlineStr">
        <is>
          <t>風の日の窓</t>
        </is>
      </c>
      <c r="E45" s="27" t="inlineStr">
        <is>
          <t>刮风天的窗户</t>
        </is>
      </c>
      <c r="F45" s="26" t="inlineStr">
        <is>
          <t>I 组建期</t>
        </is>
      </c>
      <c r="G45" s="28" t="inlineStr">
        <is>
          <t>外延单元</t>
        </is>
      </c>
      <c r="H45" s="27" t="inlineStr">
        <is>
          <t>主题专项·建筑物理</t>
        </is>
      </c>
      <c r="I45" s="26" t="inlineStr">
        <is>
          <t>3月春一番</t>
        </is>
      </c>
      <c r="J45" s="27" t="inlineStr">
        <is>
          <t>志郎</t>
        </is>
      </c>
      <c r="K45" s="27" t="inlineStr">
        <is>
          <t>光·慧美·志郎·珣（+瑆 笔记）</t>
        </is>
      </c>
      <c r="L45" s="27" t="inlineStr">
        <is>
          <t>流体</t>
        </is>
      </c>
      <c r="M45" s="27" t="inlineStr">
        <is>
          <t>建筑</t>
        </is>
      </c>
      <c r="N45" s="27" t="inlineStr">
        <is>
          <t>声学</t>
        </is>
      </c>
      <c r="O45" s="29" t="inlineStr">
        <is>
          <t>伯努利效应 + 建筑风压 + 缝隙啸声</t>
        </is>
      </c>
      <c r="P45" s="28" t="inlineStr">
        <is>
          <t>结构</t>
        </is>
      </c>
      <c r="Q45" s="27" t="n"/>
      <c r="R45" s="26">
        <f>IF(COUNTIF($M$2:$M$51,M40)&gt;1,"⚠ 重复","唯一")</f>
        <v/>
      </c>
    </row>
    <row r="46" ht="29.85" customHeight="1" s="17">
      <c r="A46" t="inlineStr">
        <is>
          <t>A033</t>
        </is>
      </c>
      <c r="B46" t="inlineStr">
        <is>
          <t>⬜</t>
        </is>
      </c>
      <c r="C46" s="26" t="n">
        <v>40</v>
      </c>
      <c r="D46" s="27" t="inlineStr">
        <is>
          <t>古いラジオの声</t>
        </is>
      </c>
      <c r="E46" s="27" t="inlineStr">
        <is>
          <t>旧收音机的杂音</t>
        </is>
      </c>
      <c r="F46" s="26" t="inlineStr">
        <is>
          <t>I 组建期</t>
        </is>
      </c>
      <c r="G46" s="28" t="inlineStr">
        <is>
          <t>外延单元</t>
        </is>
      </c>
      <c r="H46" s="27" t="inlineStr">
        <is>
          <t>主题专项·电</t>
        </is>
      </c>
      <c r="I46" s="26" t="inlineStr">
        <is>
          <t>4月</t>
        </is>
      </c>
      <c r="J46" s="27" t="inlineStr">
        <is>
          <t>珣</t>
        </is>
      </c>
      <c r="K46" s="27" t="inlineStr">
        <is>
          <t>光·慧美·志郎·珣（+瑆 笔记）</t>
        </is>
      </c>
      <c r="L46" s="27" t="inlineStr">
        <is>
          <t>电磁</t>
        </is>
      </c>
      <c r="M46" s="27" t="inlineStr">
        <is>
          <t>电子</t>
        </is>
      </c>
      <c r="N46" s="27" t="inlineStr">
        <is>
          <t>材料</t>
        </is>
      </c>
      <c r="O46" s="29" t="inlineStr">
        <is>
          <t>天线接收 + 无线电串扰 + 电磁屏蔽</t>
        </is>
      </c>
      <c r="P46" s="28" t="inlineStr">
        <is>
          <t>微观</t>
        </is>
      </c>
      <c r="Q46" s="27" t="n"/>
      <c r="R46" s="26">
        <f>IF(COUNTIF($M$2:$M$51,M41)&gt;1,"⚠ 重复","唯一")</f>
        <v/>
      </c>
    </row>
    <row r="47" ht="29.85" customHeight="1" s="17">
      <c r="A47" t="inlineStr">
        <is>
          <t>A051</t>
        </is>
      </c>
      <c r="B47" t="inlineStr">
        <is>
          <t>⬜ · 理紗Vol11</t>
        </is>
      </c>
      <c r="C47" s="21" t="n">
        <v>41</v>
      </c>
      <c r="D47" s="22" t="inlineStr">
        <is>
          <t>色が違う絵</t>
        </is>
      </c>
      <c r="E47" s="22" t="inlineStr">
        <is>
          <t>颜色不对的画</t>
        </is>
      </c>
      <c r="F47" s="21" t="inlineStr">
        <is>
          <t>II 感知期</t>
        </is>
      </c>
      <c r="G47" s="23" t="inlineStr">
        <is>
          <t>外延单元</t>
        </is>
      </c>
      <c r="H47" s="22" t="inlineStr">
        <is>
          <t>主题专项·感知</t>
        </is>
      </c>
      <c r="I47" s="21" t="inlineStr">
        <is>
          <t>5月</t>
        </is>
      </c>
      <c r="J47" s="22" t="inlineStr">
        <is>
          <t>理紗·慧美</t>
        </is>
      </c>
      <c r="K47" s="22" t="inlineStr">
        <is>
          <t>光·慧美·志郎·珣·理紗（+瑆 笔记）</t>
        </is>
      </c>
      <c r="L47" s="22" t="inlineStr">
        <is>
          <t>色彩</t>
        </is>
      </c>
      <c r="M47" s="22" t="inlineStr">
        <is>
          <t>光学</t>
        </is>
      </c>
      <c r="N47" s="22" t="inlineStr">
        <is>
          <t>心理</t>
        </is>
      </c>
      <c r="O47" s="24" t="inlineStr">
        <is>
          <t>条件等色 + 色彩恒常 + 色温</t>
        </is>
      </c>
      <c r="P47" s="23" t="inlineStr">
        <is>
          <t>感知+实验</t>
        </is>
      </c>
      <c r="Q47" s="22" t="inlineStr">
        <is>
          <t>理紗入社</t>
        </is>
      </c>
      <c r="R47" s="21">
        <f>IF(COUNTIF($M$2:$M$51,M42)&gt;1,"⚠ 重复","唯一")</f>
        <v/>
      </c>
    </row>
    <row r="48" ht="29.85" customHeight="1" s="17">
      <c r="A48" t="inlineStr">
        <is>
          <t>A052</t>
        </is>
      </c>
      <c r="B48" t="inlineStr">
        <is>
          <t>⬜</t>
        </is>
      </c>
      <c r="C48" s="26" t="n">
        <v>42</v>
      </c>
      <c r="D48" s="27" t="inlineStr">
        <is>
          <t>聞こえないノック</t>
        </is>
      </c>
      <c r="E48" s="27" t="inlineStr">
        <is>
          <t>听不见的敲门</t>
        </is>
      </c>
      <c r="F48" s="26" t="inlineStr">
        <is>
          <t>II 感知期</t>
        </is>
      </c>
      <c r="G48" s="28" t="inlineStr">
        <is>
          <t>外延单元</t>
        </is>
      </c>
      <c r="H48" s="27" t="inlineStr">
        <is>
          <t>主题专项·声</t>
        </is>
      </c>
      <c r="I48" s="26" t="inlineStr">
        <is>
          <t>6月</t>
        </is>
      </c>
      <c r="J48" s="27" t="inlineStr">
        <is>
          <t>理紗·珣</t>
        </is>
      </c>
      <c r="K48" s="27" t="inlineStr">
        <is>
          <t>光·慧美·志郎·珣·理紗（+瑆 笔记）</t>
        </is>
      </c>
      <c r="L48" s="27" t="inlineStr">
        <is>
          <t>声学</t>
        </is>
      </c>
      <c r="M48" s="27" t="inlineStr">
        <is>
          <t>人体</t>
        </is>
      </c>
      <c r="N48" s="27" t="inlineStr">
        <is>
          <t>物理</t>
        </is>
      </c>
      <c r="O48" s="29" t="inlineStr">
        <is>
          <t>听觉频率 + 空腔共鸣 + 超声波</t>
        </is>
      </c>
      <c r="P48" s="28" t="inlineStr">
        <is>
          <t>感知+微观</t>
        </is>
      </c>
      <c r="Q48" s="27" t="n"/>
      <c r="R48" s="26">
        <f>IF(COUNTIF($M$2:$M$51,M43)&gt;1,"⚠ 重复","唯一")</f>
        <v/>
      </c>
    </row>
    <row r="49" ht="29.85" customHeight="1" s="17">
      <c r="A49" t="inlineStr">
        <is>
          <t>A053</t>
        </is>
      </c>
      <c r="B49" t="inlineStr">
        <is>
          <t>⬜</t>
        </is>
      </c>
      <c r="C49" s="26" t="n">
        <v>43</v>
      </c>
      <c r="D49" s="27" t="inlineStr">
        <is>
          <t>鏡の中の文字</t>
        </is>
      </c>
      <c r="E49" s="27" t="inlineStr">
        <is>
          <t>镜中的文字</t>
        </is>
      </c>
      <c r="F49" s="26" t="inlineStr">
        <is>
          <t>II 感知期</t>
        </is>
      </c>
      <c r="G49" s="28" t="inlineStr">
        <is>
          <t>外延单元</t>
        </is>
      </c>
      <c r="H49" s="27" t="inlineStr">
        <is>
          <t>主题专项·光</t>
        </is>
      </c>
      <c r="I49" s="26" t="inlineStr">
        <is>
          <t>7月</t>
        </is>
      </c>
      <c r="J49" s="27" t="inlineStr">
        <is>
          <t>理紗·慧美</t>
        </is>
      </c>
      <c r="K49" s="27" t="inlineStr">
        <is>
          <t>光·慧美·志郎·珣·理紗（+瑆 笔记）</t>
        </is>
      </c>
      <c r="L49" s="27" t="inlineStr">
        <is>
          <t>光学</t>
        </is>
      </c>
      <c r="M49" s="27" t="inlineStr">
        <is>
          <t>几何</t>
        </is>
      </c>
      <c r="N49" s="27" t="inlineStr">
        <is>
          <t>心理</t>
        </is>
      </c>
      <c r="O49" s="29" t="inlineStr">
        <is>
          <t>左右镜像 + 空间认知 + 镜面反射</t>
        </is>
      </c>
      <c r="P49" s="28" t="inlineStr">
        <is>
          <t>感知</t>
        </is>
      </c>
      <c r="Q49" s="27" t="n"/>
      <c r="R49" s="26">
        <f>IF(COUNTIF($M$2:$M$51,M44)&gt;1,"⚠ 重复","唯一")</f>
        <v/>
      </c>
    </row>
    <row r="50" ht="29.85" customHeight="1" s="17">
      <c r="A50" t="inlineStr">
        <is>
          <t>A054</t>
        </is>
      </c>
      <c r="B50" t="inlineStr">
        <is>
          <t>⬜</t>
        </is>
      </c>
      <c r="C50" s="26" t="n">
        <v>44</v>
      </c>
      <c r="D50" s="27" t="inlineStr">
        <is>
          <t>にじむ夕焼け</t>
        </is>
      </c>
      <c r="E50" s="27" t="inlineStr">
        <is>
          <t>晕开的晚霞</t>
        </is>
      </c>
      <c r="F50" s="26" t="inlineStr">
        <is>
          <t>II 感知期</t>
        </is>
      </c>
      <c r="G50" s="28" t="inlineStr">
        <is>
          <t>外延单元</t>
        </is>
      </c>
      <c r="H50" s="27" t="inlineStr">
        <is>
          <t>主题专项·气象光</t>
        </is>
      </c>
      <c r="I50" s="26" t="inlineStr">
        <is>
          <t>9月</t>
        </is>
      </c>
      <c r="J50" s="27" t="inlineStr">
        <is>
          <t>理紗·慧美</t>
        </is>
      </c>
      <c r="K50" s="27" t="inlineStr">
        <is>
          <t>光·慧美·志郎·珣·理紗（+瑆 笔记）</t>
        </is>
      </c>
      <c r="L50" s="27" t="inlineStr">
        <is>
          <t>气象</t>
        </is>
      </c>
      <c r="M50" s="27" t="inlineStr">
        <is>
          <t>光学</t>
        </is>
      </c>
      <c r="N50" s="27" t="inlineStr">
        <is>
          <t>物理</t>
        </is>
      </c>
      <c r="O50" s="29" t="inlineStr">
        <is>
          <t>大气色散 + 瑞利散射 + 雾汽散射</t>
        </is>
      </c>
      <c r="P50" s="28" t="inlineStr">
        <is>
          <t>感知+实验</t>
        </is>
      </c>
      <c r="Q50" s="27" t="n"/>
      <c r="R50" s="26">
        <f>IF(COUNTIF($M$2:$M$51,M45)&gt;1,"⚠ 重复","唯一")</f>
        <v/>
      </c>
    </row>
    <row r="51" ht="29.85" customHeight="1" s="17">
      <c r="A51" t="inlineStr">
        <is>
          <t>A055</t>
        </is>
      </c>
      <c r="B51" t="inlineStr">
        <is>
          <t>⬜</t>
        </is>
      </c>
      <c r="C51" s="26" t="n">
        <v>45</v>
      </c>
      <c r="D51" s="27" t="inlineStr">
        <is>
          <t>動かない秒針</t>
        </is>
      </c>
      <c r="E51" s="27" t="inlineStr">
        <is>
          <t>不动的秒针</t>
        </is>
      </c>
      <c r="F51" s="26" t="inlineStr">
        <is>
          <t>II 感知期</t>
        </is>
      </c>
      <c r="G51" s="28" t="inlineStr">
        <is>
          <t>外延单元</t>
        </is>
      </c>
      <c r="H51" s="27" t="inlineStr">
        <is>
          <t>主题专项·感知光</t>
        </is>
      </c>
      <c r="I51" s="26" t="inlineStr">
        <is>
          <t>10月</t>
        </is>
      </c>
      <c r="J51" s="27" t="inlineStr">
        <is>
          <t>理紗·珣</t>
        </is>
      </c>
      <c r="K51" s="27" t="inlineStr">
        <is>
          <t>光·慧美·志郎·珣·理紗（+瑆 笔记）</t>
        </is>
      </c>
      <c r="L51" s="27" t="inlineStr">
        <is>
          <t>光学</t>
        </is>
      </c>
      <c r="M51" s="27" t="inlineStr">
        <is>
          <t>感知</t>
        </is>
      </c>
      <c r="N51" s="27" t="inlineStr">
        <is>
          <t>物理</t>
        </is>
      </c>
      <c r="O51" s="29" t="inlineStr">
        <is>
          <t>周期同步 + 视觉暂留 + 频闪错觉</t>
        </is>
      </c>
      <c r="P51" s="28" t="inlineStr">
        <is>
          <t>感知+微观</t>
        </is>
      </c>
      <c r="Q51" s="27" t="n"/>
      <c r="R51" s="26">
        <f>IF(COUNTIF($M$2:$M$51,M46)&gt;1,"⚠ 重复","唯一")</f>
        <v/>
      </c>
    </row>
    <row r="52">
      <c r="A52" t="inlineStr">
        <is>
          <t>A056</t>
        </is>
      </c>
      <c r="B52" t="inlineStr">
        <is>
          <t>⬜</t>
        </is>
      </c>
      <c r="C52" s="26" t="n">
        <v>46</v>
      </c>
      <c r="D52" s="27" t="inlineStr">
        <is>
          <t>影が二つ</t>
        </is>
      </c>
      <c r="E52" s="27" t="inlineStr">
        <is>
          <t>两个影子</t>
        </is>
      </c>
      <c r="F52" s="26" t="inlineStr">
        <is>
          <t>II 感知期</t>
        </is>
      </c>
      <c r="G52" s="28" t="inlineStr">
        <is>
          <t>外延单元</t>
        </is>
      </c>
      <c r="H52" s="27" t="inlineStr">
        <is>
          <t>主题专项·光</t>
        </is>
      </c>
      <c r="I52" s="26" t="inlineStr">
        <is>
          <t>11月</t>
        </is>
      </c>
      <c r="J52" s="27" t="inlineStr">
        <is>
          <t>理紗·珣</t>
        </is>
      </c>
      <c r="K52" s="27" t="inlineStr">
        <is>
          <t>光·慧美·志郎·珣·理紗（+瑆 笔记）</t>
        </is>
      </c>
      <c r="L52" s="27" t="inlineStr">
        <is>
          <t>光学</t>
        </is>
      </c>
      <c r="M52" s="27" t="inlineStr">
        <is>
          <t>物理</t>
        </is>
      </c>
      <c r="N52" s="27" t="inlineStr">
        <is>
          <t>感知</t>
        </is>
      </c>
      <c r="O52" s="29" t="inlineStr">
        <is>
          <t>投影叠加 + 本影半影 + 点光源阵列</t>
        </is>
      </c>
      <c r="P52" s="28" t="inlineStr">
        <is>
          <t>感知</t>
        </is>
      </c>
      <c r="Q52" s="27" t="n"/>
      <c r="R52" s="26">
        <f>IF(COUNTIF($M$2:$M$51,M47)&gt;1,"⚠ 重复","唯一")</f>
        <v/>
      </c>
    </row>
    <row r="53">
      <c r="A53" t="inlineStr">
        <is>
          <t>A057</t>
        </is>
      </c>
      <c r="B53" t="inlineStr">
        <is>
          <t>⬜</t>
        </is>
      </c>
      <c r="C53" s="26" t="n">
        <v>47</v>
      </c>
      <c r="D53" s="27" t="inlineStr">
        <is>
          <t>透明な膜の色</t>
        </is>
      </c>
      <c r="E53" s="27" t="inlineStr">
        <is>
          <t>透明膜的颜色</t>
        </is>
      </c>
      <c r="F53" s="26" t="inlineStr">
        <is>
          <t>II 感知期</t>
        </is>
      </c>
      <c r="G53" s="28" t="inlineStr">
        <is>
          <t>外延单元</t>
        </is>
      </c>
      <c r="H53" s="27" t="inlineStr">
        <is>
          <t>主题专项·光材料</t>
        </is>
      </c>
      <c r="I53" s="26" t="inlineStr">
        <is>
          <t>12月</t>
        </is>
      </c>
      <c r="J53" s="27" t="inlineStr">
        <is>
          <t>理紗·慧美</t>
        </is>
      </c>
      <c r="K53" s="27" t="inlineStr">
        <is>
          <t>光·慧美·志郎·珣·理紗（+瑆 笔记）</t>
        </is>
      </c>
      <c r="L53" s="27" t="inlineStr">
        <is>
          <t>光学</t>
        </is>
      </c>
      <c r="M53" s="27" t="inlineStr">
        <is>
          <t>材料</t>
        </is>
      </c>
      <c r="N53" s="27" t="inlineStr">
        <is>
          <t>物理</t>
        </is>
      </c>
      <c r="O53" s="29" t="inlineStr">
        <is>
          <t>折射率 + 膜厚 + 薄膜干涉</t>
        </is>
      </c>
      <c r="P53" s="28" t="inlineStr">
        <is>
          <t>感知+实验</t>
        </is>
      </c>
      <c r="Q53" s="27" t="n"/>
      <c r="R53" s="26">
        <f>IF(COUNTIF($M$2:$M$51,M48)&gt;1,"⚠ 重复","唯一")</f>
        <v/>
      </c>
    </row>
    <row r="54">
      <c r="A54" t="inlineStr">
        <is>
          <t>A058</t>
        </is>
      </c>
      <c r="B54" t="inlineStr">
        <is>
          <t>⬜</t>
        </is>
      </c>
      <c r="C54" s="26" t="n">
        <v>48</v>
      </c>
      <c r="D54" s="27" t="inlineStr">
        <is>
          <t>凍る池の音</t>
        </is>
      </c>
      <c r="E54" s="27" t="inlineStr">
        <is>
          <t>结冰池塘的声音</t>
        </is>
      </c>
      <c r="F54" s="26" t="inlineStr">
        <is>
          <t>II 感知期</t>
        </is>
      </c>
      <c r="G54" s="28" t="inlineStr">
        <is>
          <t>外延单元</t>
        </is>
      </c>
      <c r="H54" s="27" t="inlineStr">
        <is>
          <t>季节特别·冬</t>
        </is>
      </c>
      <c r="I54" s="26" t="inlineStr">
        <is>
          <t>1月</t>
        </is>
      </c>
      <c r="J54" s="27" t="inlineStr">
        <is>
          <t>理紗·珣</t>
        </is>
      </c>
      <c r="K54" s="27" t="inlineStr">
        <is>
          <t>光·慧美·志郎·珣·理紗（+瑆 笔记）</t>
        </is>
      </c>
      <c r="L54" s="27" t="inlineStr">
        <is>
          <t>声学</t>
        </is>
      </c>
      <c r="M54" s="27" t="inlineStr">
        <is>
          <t>物态</t>
        </is>
      </c>
      <c r="N54" s="27" t="inlineStr">
        <is>
          <t>物理</t>
        </is>
      </c>
      <c r="O54" s="29" t="inlineStr">
        <is>
          <t>低温传声 + 冰层振动 + 热胀冷缩</t>
        </is>
      </c>
      <c r="P54" s="28" t="inlineStr">
        <is>
          <t>感知+微观</t>
        </is>
      </c>
      <c r="Q54" s="27" t="n"/>
      <c r="R54" s="26">
        <f>IF(COUNTIF($M$2:$M$51,M49)&gt;1,"⚠ 重复","唯一")</f>
        <v/>
      </c>
    </row>
    <row r="55">
      <c r="A55" t="inlineStr">
        <is>
          <t>B011</t>
        </is>
      </c>
      <c r="B55" t="inlineStr">
        <is>
          <t>⬜</t>
        </is>
      </c>
      <c r="C55" s="26" t="n">
        <v>49</v>
      </c>
      <c r="D55" s="27" t="inlineStr">
        <is>
          <t>曲がって見える線路</t>
        </is>
      </c>
      <c r="E55" s="27" t="inlineStr">
        <is>
          <t>看起来弯的铁轨</t>
        </is>
      </c>
      <c r="F55" s="26" t="inlineStr">
        <is>
          <t>II 感知期</t>
        </is>
      </c>
      <c r="G55" s="28" t="inlineStr">
        <is>
          <t>外延单元</t>
        </is>
      </c>
      <c r="H55" s="27" t="inlineStr">
        <is>
          <t>城市特典·感知</t>
        </is>
      </c>
      <c r="I55" s="26" t="inlineStr">
        <is>
          <t>2月</t>
        </is>
      </c>
      <c r="J55" s="27" t="inlineStr">
        <is>
          <t>理紗·慧美</t>
        </is>
      </c>
      <c r="K55" s="27" t="inlineStr">
        <is>
          <t>光·慧美·志郎·珣·理紗（+瑆 笔记）</t>
        </is>
      </c>
      <c r="L55" s="27" t="inlineStr">
        <is>
          <t>光学</t>
        </is>
      </c>
      <c r="M55" s="27" t="inlineStr">
        <is>
          <t>心理</t>
        </is>
      </c>
      <c r="N55" s="27" t="inlineStr">
        <is>
          <t>物理</t>
        </is>
      </c>
      <c r="O55" s="29" t="inlineStr">
        <is>
          <t>热气折射 + 距离错视 + 透视收敛</t>
        </is>
      </c>
      <c r="P55" s="28" t="inlineStr">
        <is>
          <t>感知</t>
        </is>
      </c>
      <c r="Q55" s="27" t="n"/>
      <c r="R55" s="26">
        <f>IF(COUNTIF($M$2:$M$51,M50)&gt;1,"⚠ 重复","唯一")</f>
        <v/>
      </c>
    </row>
    <row r="56">
      <c r="A56" t="inlineStr">
        <is>
          <t>A059</t>
        </is>
      </c>
      <c r="B56" t="inlineStr">
        <is>
          <t>⬜ · ★收束1</t>
        </is>
      </c>
      <c r="C56" s="21" t="n">
        <v>50</v>
      </c>
      <c r="D56" s="22" t="inlineStr">
        <is>
          <t>葛西さんの古写真</t>
        </is>
      </c>
      <c r="E56" s="22" t="inlineStr">
        <is>
          <t>葛西爷爷的旧照片</t>
        </is>
      </c>
      <c r="F56" s="21" t="inlineStr">
        <is>
          <t>II 感知期</t>
        </is>
      </c>
      <c r="G56" s="23" t="inlineStr">
        <is>
          <t>范式深化</t>
        </is>
      </c>
      <c r="H56" s="22" t="inlineStr">
        <is>
          <t>社区·长线</t>
        </is>
      </c>
      <c r="I56" s="21" t="inlineStr">
        <is>
          <t>3月</t>
        </is>
      </c>
      <c r="J56" s="22" t="inlineStr">
        <is>
          <t>葛西·瑆·理紗</t>
        </is>
      </c>
      <c r="K56" s="22" t="inlineStr">
        <is>
          <t>光·慧美·志郎·珣·理紗·葛西（+瑆 主笔）</t>
        </is>
      </c>
      <c r="L56" s="22" t="inlineStr">
        <is>
          <t>历史</t>
        </is>
      </c>
      <c r="M56" s="22" t="inlineStr">
        <is>
          <t>光学</t>
        </is>
      </c>
      <c r="N56" s="22" t="inlineStr">
        <is>
          <t>化学</t>
        </is>
      </c>
      <c r="O56" s="24" t="inlineStr">
        <is>
          <t>城市变迁 + 照片褪色 + 银盐化学</t>
        </is>
      </c>
      <c r="P56" s="23" t="inlineStr">
        <is>
          <t>溯源+人际+感知</t>
        </is>
      </c>
      <c r="Q56" s="22" t="inlineStr">
        <is>
          <t>长线收束点①</t>
        </is>
      </c>
      <c r="R56" s="21">
        <f>IF(COUNTIF($M$2:$M$51,M51)&gt;1,"⚠ 重复","唯一")</f>
        <v/>
      </c>
    </row>
  </sheetData>
  <autoFilter ref="A1:P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6" min="1" max="1"/>
    <col width="18" customWidth="1" style="16" min="2" max="2"/>
    <col width="42" customWidth="1" style="16" min="3" max="3"/>
  </cols>
  <sheetData>
    <row r="1" ht="15" customHeight="1" s="17">
      <c r="A1" s="19" t="inlineStr">
        <is>
          <t>知识域</t>
        </is>
      </c>
      <c r="B1" s="19" t="inlineStr">
        <is>
          <t>前50篇出现次数</t>
        </is>
      </c>
      <c r="C1" s="19" t="inlineStr">
        <is>
          <t>说明</t>
        </is>
      </c>
    </row>
    <row r="2" ht="15" customHeight="1" s="17">
      <c r="A2" s="27" t="inlineStr">
        <is>
          <t>人体</t>
        </is>
      </c>
      <c r="B2" s="26">
        <f>COUNTIF(前50篇台账!$J$2:$L$51,A2)</f>
        <v/>
      </c>
      <c r="C2" s="27" t="inlineStr">
        <is>
          <t>组合层去重，单域可在不同三元组中复现</t>
        </is>
      </c>
    </row>
    <row r="3" ht="15" customHeight="1" s="17">
      <c r="A3" s="27" t="inlineStr">
        <is>
          <t>光学</t>
        </is>
      </c>
      <c r="B3" s="26">
        <f>COUNTIF(前50篇台账!$J$2:$L$51,A3)</f>
        <v/>
      </c>
      <c r="C3" s="27" t="inlineStr">
        <is>
          <t>组合层去重，单域可在不同三元组中复现</t>
        </is>
      </c>
    </row>
    <row r="4" ht="15" customHeight="1" s="17">
      <c r="A4" s="27" t="inlineStr">
        <is>
          <t>几何</t>
        </is>
      </c>
      <c r="B4" s="26">
        <f>COUNTIF(前50篇台账!$J$2:$L$51,A4)</f>
        <v/>
      </c>
      <c r="C4" s="27" t="inlineStr">
        <is>
          <t>组合层去重，单域可在不同三元组中复现</t>
        </is>
      </c>
    </row>
    <row r="5" ht="15" customHeight="1" s="17">
      <c r="A5" s="27" t="inlineStr">
        <is>
          <t>力学</t>
        </is>
      </c>
      <c r="B5" s="26">
        <f>COUNTIF(前50篇台账!$J$2:$L$51,A5)</f>
        <v/>
      </c>
      <c r="C5" s="27" t="inlineStr">
        <is>
          <t>组合层去重，单域可在不同三元组中复现</t>
        </is>
      </c>
    </row>
    <row r="6" ht="15" customHeight="1" s="17">
      <c r="A6" s="27" t="inlineStr">
        <is>
          <t>动物</t>
        </is>
      </c>
      <c r="B6" s="26">
        <f>COUNTIF(前50篇台账!$J$2:$L$51,A6)</f>
        <v/>
      </c>
      <c r="C6" s="27" t="inlineStr">
        <is>
          <t>组合层去重，单域可在不同三元组中复现</t>
        </is>
      </c>
    </row>
    <row r="7" ht="15" customHeight="1" s="17">
      <c r="A7" s="27" t="inlineStr">
        <is>
          <t>化学</t>
        </is>
      </c>
      <c r="B7" s="26">
        <f>COUNTIF(前50篇台账!$J$2:$L$51,A7)</f>
        <v/>
      </c>
      <c r="C7" s="27" t="inlineStr">
        <is>
          <t>组合层去重，单域可在不同三元组中复现</t>
        </is>
      </c>
    </row>
    <row r="8" ht="15" customHeight="1" s="17">
      <c r="A8" s="27" t="inlineStr">
        <is>
          <t>历史</t>
        </is>
      </c>
      <c r="B8" s="26">
        <f>COUNTIF(前50篇台账!$J$2:$L$51,A8)</f>
        <v/>
      </c>
      <c r="C8" s="27" t="inlineStr">
        <is>
          <t>组合层去重，单域可在不同三元组中复现</t>
        </is>
      </c>
    </row>
    <row r="9" ht="15" customHeight="1" s="17">
      <c r="A9" s="27" t="inlineStr">
        <is>
          <t>图书馆学</t>
        </is>
      </c>
      <c r="B9" s="26">
        <f>COUNTIF(前50篇台账!$J$2:$L$51,A9)</f>
        <v/>
      </c>
      <c r="C9" s="27" t="inlineStr">
        <is>
          <t>组合层去重，单域可在不同三元组中复现</t>
        </is>
      </c>
    </row>
    <row r="10" ht="15" customHeight="1" s="17">
      <c r="A10" s="27" t="inlineStr">
        <is>
          <t>地理</t>
        </is>
      </c>
      <c r="B10" s="26">
        <f>COUNTIF(前50篇台账!$J$2:$L$51,A10)</f>
        <v/>
      </c>
      <c r="C10" s="27" t="inlineStr">
        <is>
          <t>组合层去重，单域可在不同三元组中复现</t>
        </is>
      </c>
    </row>
    <row r="11" ht="15" customHeight="1" s="17">
      <c r="A11" s="27" t="inlineStr">
        <is>
          <t>地质</t>
        </is>
      </c>
      <c r="B11" s="26">
        <f>COUNTIF(前50篇台账!$J$2:$L$51,A11)</f>
        <v/>
      </c>
      <c r="C11" s="27" t="inlineStr">
        <is>
          <t>组合层去重，单域可在不同三元组中复现</t>
        </is>
      </c>
    </row>
    <row r="12" ht="15" customHeight="1" s="17">
      <c r="A12" s="27" t="inlineStr">
        <is>
          <t>声学</t>
        </is>
      </c>
      <c r="B12" s="26">
        <f>COUNTIF(前50篇台账!$J$2:$L$51,A12)</f>
        <v/>
      </c>
      <c r="C12" s="27" t="inlineStr">
        <is>
          <t>组合层去重，单域可在不同三元组中复现</t>
        </is>
      </c>
    </row>
    <row r="13" ht="15" customHeight="1" s="17">
      <c r="A13" s="27" t="inlineStr">
        <is>
          <t>天文</t>
        </is>
      </c>
      <c r="B13" s="26">
        <f>COUNTIF(前50篇台账!$J$2:$L$51,A13)</f>
        <v/>
      </c>
      <c r="C13" s="27" t="inlineStr">
        <is>
          <t>组合层去重，单域可在不同三元组中复现</t>
        </is>
      </c>
    </row>
    <row r="14" ht="15" customHeight="1" s="17">
      <c r="A14" s="27" t="inlineStr">
        <is>
          <t>实验方法</t>
        </is>
      </c>
      <c r="B14" s="26">
        <f>COUNTIF(前50篇台账!$J$2:$L$51,A14)</f>
        <v/>
      </c>
      <c r="C14" s="27" t="inlineStr">
        <is>
          <t>组合层去重，单域可在不同三元组中复现</t>
        </is>
      </c>
    </row>
    <row r="15" ht="15" customHeight="1" s="17">
      <c r="A15" s="27" t="inlineStr">
        <is>
          <t>工程</t>
        </is>
      </c>
      <c r="B15" s="26">
        <f>COUNTIF(前50篇台账!$J$2:$L$51,A15)</f>
        <v/>
      </c>
      <c r="C15" s="27" t="inlineStr">
        <is>
          <t>组合层去重，单域可在不同三元组中复现</t>
        </is>
      </c>
    </row>
    <row r="16" ht="15" customHeight="1" s="17">
      <c r="A16" s="27" t="inlineStr">
        <is>
          <t>建筑</t>
        </is>
      </c>
      <c r="B16" s="26">
        <f>COUNTIF(前50篇台账!$J$2:$L$51,A16)</f>
        <v/>
      </c>
      <c r="C16" s="27" t="inlineStr">
        <is>
          <t>组合层去重，单域可在不同三元组中复现</t>
        </is>
      </c>
    </row>
    <row r="17" ht="15" customHeight="1" s="17">
      <c r="A17" s="27" t="inlineStr">
        <is>
          <t>微生物</t>
        </is>
      </c>
      <c r="B17" s="26">
        <f>COUNTIF(前50篇台账!$J$2:$L$51,A17)</f>
        <v/>
      </c>
      <c r="C17" s="27" t="inlineStr">
        <is>
          <t>组合层去重，单域可在不同三元组中复现</t>
        </is>
      </c>
    </row>
    <row r="18" ht="15" customHeight="1" s="17">
      <c r="A18" s="27" t="inlineStr">
        <is>
          <t>心理</t>
        </is>
      </c>
      <c r="B18" s="26">
        <f>COUNTIF(前50篇台账!$J$2:$L$51,A18)</f>
        <v/>
      </c>
      <c r="C18" s="27" t="inlineStr">
        <is>
          <t>组合层去重，单域可在不同三元组中复现</t>
        </is>
      </c>
    </row>
    <row r="19" ht="15" customHeight="1" s="17">
      <c r="A19" s="27" t="inlineStr">
        <is>
          <t>感知</t>
        </is>
      </c>
      <c r="B19" s="26">
        <f>COUNTIF(前50篇台账!$J$2:$L$51,A19)</f>
        <v/>
      </c>
      <c r="C19" s="27" t="inlineStr">
        <is>
          <t>组合层去重，单域可在不同三元组中复现</t>
        </is>
      </c>
    </row>
    <row r="20" ht="15" customHeight="1" s="17">
      <c r="A20" s="27" t="inlineStr">
        <is>
          <t>数学</t>
        </is>
      </c>
      <c r="B20" s="26">
        <f>COUNTIF(前50篇台账!$J$2:$L$51,A20)</f>
        <v/>
      </c>
      <c r="C20" s="27" t="inlineStr">
        <is>
          <t>组合层去重，单域可在不同三元组中复现</t>
        </is>
      </c>
    </row>
    <row r="21" ht="15" customHeight="1" s="17">
      <c r="A21" s="27" t="inlineStr">
        <is>
          <t>材料</t>
        </is>
      </c>
      <c r="B21" s="26">
        <f>COUNTIF(前50篇台账!$J$2:$L$51,A21)</f>
        <v/>
      </c>
      <c r="C21" s="27" t="inlineStr">
        <is>
          <t>组合层去重，单域可在不同三元组中复现</t>
        </is>
      </c>
    </row>
    <row r="22" ht="15" customHeight="1" s="17">
      <c r="A22" s="27" t="inlineStr">
        <is>
          <t>植物</t>
        </is>
      </c>
      <c r="B22" s="26">
        <f>COUNTIF(前50篇台账!$J$2:$L$51,A22)</f>
        <v/>
      </c>
      <c r="C22" s="27" t="inlineStr">
        <is>
          <t>组合层去重，单域可在不同三元组中复现</t>
        </is>
      </c>
    </row>
    <row r="23" ht="15" customHeight="1" s="17">
      <c r="A23" s="27" t="inlineStr">
        <is>
          <t>气象</t>
        </is>
      </c>
      <c r="B23" s="26">
        <f>COUNTIF(前50篇台账!$J$2:$L$51,A23)</f>
        <v/>
      </c>
      <c r="C23" s="27" t="inlineStr">
        <is>
          <t>组合层去重，单域可在不同三元组中复现</t>
        </is>
      </c>
    </row>
    <row r="24" ht="15" customHeight="1" s="17">
      <c r="A24" s="27" t="inlineStr">
        <is>
          <t>流体</t>
        </is>
      </c>
      <c r="B24" s="26">
        <f>COUNTIF(前50篇台账!$J$2:$L$51,A24)</f>
        <v/>
      </c>
      <c r="C24" s="27" t="inlineStr">
        <is>
          <t>组合层去重，单域可在不同三元组中复现</t>
        </is>
      </c>
    </row>
    <row r="25" ht="15" customHeight="1" s="17">
      <c r="A25" s="27" t="inlineStr">
        <is>
          <t>热传导</t>
        </is>
      </c>
      <c r="B25" s="26">
        <f>COUNTIF(前50篇台账!$J$2:$L$51,A25)</f>
        <v/>
      </c>
      <c r="C25" s="27" t="inlineStr">
        <is>
          <t>组合层去重，单域可在不同三元组中复现</t>
        </is>
      </c>
    </row>
    <row r="26" ht="15" customHeight="1" s="17">
      <c r="A26" s="27" t="inlineStr">
        <is>
          <t>热学</t>
        </is>
      </c>
      <c r="B26" s="26">
        <f>COUNTIF(前50篇台账!$J$2:$L$51,A26)</f>
        <v/>
      </c>
      <c r="C26" s="27" t="inlineStr">
        <is>
          <t>组合层去重，单域可在不同三元组中复现</t>
        </is>
      </c>
    </row>
    <row r="27" ht="15" customHeight="1" s="17">
      <c r="A27" s="27" t="inlineStr">
        <is>
          <t>物态</t>
        </is>
      </c>
      <c r="B27" s="26">
        <f>COUNTIF(前50篇台账!$J$2:$L$51,A27)</f>
        <v/>
      </c>
      <c r="C27" s="27" t="inlineStr">
        <is>
          <t>组合层去重，单域可在不同三元组中复现</t>
        </is>
      </c>
    </row>
    <row r="28" ht="15" customHeight="1" s="17">
      <c r="A28" s="27" t="inlineStr">
        <is>
          <t>物理</t>
        </is>
      </c>
      <c r="B28" s="26">
        <f>COUNTIF(前50篇台账!$J$2:$L$51,A28)</f>
        <v/>
      </c>
      <c r="C28" s="27" t="inlineStr">
        <is>
          <t>组合层去重，单域可在不同三元组中复现</t>
        </is>
      </c>
    </row>
    <row r="29" ht="15" customHeight="1" s="17">
      <c r="A29" s="27" t="inlineStr">
        <is>
          <t>生物</t>
        </is>
      </c>
      <c r="B29" s="26">
        <f>COUNTIF(前50篇台账!$J$2:$L$51,A29)</f>
        <v/>
      </c>
      <c r="C29" s="27" t="inlineStr">
        <is>
          <t>组合层去重，单域可在不同三元组中复现</t>
        </is>
      </c>
    </row>
    <row r="30" ht="15" customHeight="1" s="17">
      <c r="A30" s="27" t="inlineStr">
        <is>
          <t>电子</t>
        </is>
      </c>
      <c r="B30" s="26">
        <f>COUNTIF(前50篇台账!$J$2:$L$51,A30)</f>
        <v/>
      </c>
      <c r="C30" s="27" t="inlineStr">
        <is>
          <t>组合层去重，单域可在不同三元组中复现</t>
        </is>
      </c>
    </row>
    <row r="31" ht="15" customHeight="1" s="17">
      <c r="A31" s="27" t="inlineStr">
        <is>
          <t>电磁</t>
        </is>
      </c>
      <c r="B31" s="26">
        <f>COUNTIF(前50篇台账!$J$2:$L$51,A31)</f>
        <v/>
      </c>
      <c r="C31" s="27" t="inlineStr">
        <is>
          <t>组合层去重，单域可在不同三元组中复现</t>
        </is>
      </c>
    </row>
    <row r="32" ht="15" customHeight="1" s="17">
      <c r="A32" s="27" t="inlineStr">
        <is>
          <t>色彩</t>
        </is>
      </c>
      <c r="B32" s="26">
        <f>COUNTIF(前50篇台账!$J$2:$L$51,A32)</f>
        <v/>
      </c>
      <c r="C32" s="27" t="inlineStr">
        <is>
          <t>组合层去重，单域可在不同三元组中复现</t>
        </is>
      </c>
    </row>
    <row r="33" ht="15" customHeight="1" s="17">
      <c r="A33" s="27" t="inlineStr">
        <is>
          <t>行为</t>
        </is>
      </c>
      <c r="B33" s="26">
        <f>COUNTIF(前50篇台账!$J$2:$L$51,A33)</f>
        <v/>
      </c>
      <c r="C33" s="27" t="inlineStr">
        <is>
          <t>组合层去重，单域可在不同三元组中复现</t>
        </is>
      </c>
    </row>
    <row r="34" ht="15" customHeight="1" s="17">
      <c r="A34" s="27" t="inlineStr">
        <is>
          <t>逻辑</t>
        </is>
      </c>
      <c r="B34" s="26">
        <f>COUNTIF(前50篇台账!$J$2:$L$51,A34)</f>
        <v/>
      </c>
      <c r="C34" s="27" t="inlineStr">
        <is>
          <t>组合层去重，单域可在不同三元组中复现</t>
        </is>
      </c>
    </row>
    <row r="35" ht="15" customHeight="1" s="17">
      <c r="A35" s="27" t="inlineStr">
        <is>
          <t>音乐</t>
        </is>
      </c>
      <c r="B35" s="26">
        <f>COUNTIF(前50篇台账!$J$2:$L$51,A35)</f>
        <v/>
      </c>
      <c r="C35" s="27" t="inlineStr">
        <is>
          <t>组合层去重，单域可在不同三元组中复现</t>
        </is>
      </c>
    </row>
    <row r="36" ht="15" customHeight="1" s="17">
      <c r="A36" s="27" t="inlineStr">
        <is>
          <t>食品化学</t>
        </is>
      </c>
      <c r="B36" s="26">
        <f>COUNTIF(前50篇台账!$J$2:$L$51,A36)</f>
        <v/>
      </c>
      <c r="C36" s="27" t="inlineStr">
        <is>
          <t>组合层去重，单域可在不同三元组中复现</t>
        </is>
      </c>
    </row>
    <row r="37" ht="15" customHeight="1" s="17">
      <c r="A37" s="30" t="inlineStr">
        <is>
          <t>合计（应=150）</t>
        </is>
      </c>
      <c r="B37" s="30">
        <f>SUM(B2:B36)</f>
        <v/>
      </c>
      <c r="C37" s="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6" min="1" max="1"/>
  </cols>
  <sheetData>
    <row r="1" ht="19.4" customHeight="1" s="17">
      <c r="A1" s="32" t="inlineStr">
        <is>
          <t>《学堂奇事録》· 前50篇原理去重台账</t>
        </is>
      </c>
    </row>
    <row r="2" ht="15" customHeight="1" s="17">
      <c r="A2" s="33" t="n"/>
    </row>
    <row r="3" ht="15" customHeight="1" s="17">
      <c r="A3" s="34" t="inlineStr">
        <is>
          <t>用途：主编逐案登记，强制保证「三原理组合在 200 篇内不重复」。</t>
        </is>
      </c>
    </row>
    <row r="4" ht="15" customHeight="1" s="17">
      <c r="A4" s="33" t="n"/>
    </row>
    <row r="5" ht="15" customHeight="1" s="17">
      <c r="A5" s="35" t="inlineStr">
        <is>
          <t>列说明：</t>
        </is>
      </c>
    </row>
    <row r="6" ht="15" customHeight="1" s="17">
      <c r="A6" s="33" t="inlineStr">
        <is>
          <t>· 三原理三元组（标准化）：三个核心原理按统一顺序排列后用 +  连接，是去重的唯一键。</t>
        </is>
      </c>
    </row>
    <row r="7" ht="15" customHeight="1" s="17">
      <c r="A7" s="33" t="inlineStr">
        <is>
          <t>· 重复校验：=COUNTIF 自动比对全表；显示「唯一」即合格，「⚠ 重复」需改写谜题机制。</t>
        </is>
      </c>
    </row>
    <row r="8" ht="15" customHeight="1" s="17">
      <c r="A8" s="33" t="inlineStr">
        <is>
          <t>· 知识域为「组合层」去重——单个域（如气象、光学）可在不同三元组中复现，三元组本身唯一即可。</t>
        </is>
      </c>
    </row>
    <row r="9" ht="15" customHeight="1" s="17">
      <c r="A9" s="33" t="n"/>
    </row>
    <row r="10" ht="15" customHeight="1" s="17">
      <c r="A10" s="35" t="inlineStr">
        <is>
          <t>新增第 51 篇及以后的流程：</t>
        </is>
      </c>
    </row>
    <row r="11" ht="15" customHeight="1" s="17">
      <c r="A11" s="33" t="inlineStr">
        <is>
          <t>1. 先确定该案的三个核心原理，按拼音/笔画统一排序写入「三原理三元组」列。</t>
        </is>
      </c>
    </row>
    <row r="12" ht="15" customHeight="1" s="17">
      <c r="A12" s="33" t="inlineStr">
        <is>
          <t>2. 向下复制「重复校验」公式，并把公式内的 $M$2:$M$51 范围扩展到新行。</t>
        </is>
      </c>
    </row>
    <row r="13" ht="15" customHeight="1" s="17">
      <c r="A13" s="33" t="inlineStr">
        <is>
          <t>3. 若显示「⚠ 重复」，更换其中至少一个核心原理或改换载体场景。</t>
        </is>
      </c>
    </row>
    <row r="14" ht="15" customHeight="1" s="17">
      <c r="A14" s="33" t="n"/>
    </row>
    <row r="15" ht="15" customHeight="1" s="17">
      <c r="A15" s="34" t="inlineStr">
        <is>
          <t>非重复的可行性证明：约 24 个知识域，三原理组合数 C(24,3)=2024 种；</t>
        </is>
      </c>
    </row>
    <row r="16" ht="15" customHeight="1" s="17">
      <c r="A16" s="34" t="inlineStr">
        <is>
          <t>即便只保留对小学生有意义、可日常化、可家庭复现的约 15%，也有约 300 种 &gt; 200 篇所需。</t>
        </is>
      </c>
    </row>
    <row r="17" ht="15" customHeight="1" s="17">
      <c r="A17" s="33" t="n"/>
    </row>
    <row r="18" ht="15" customHeight="1" s="17">
      <c r="A18" s="34" t="inlineStr">
        <is>
          <t>基线：项目正典 V1.0（2026-06-04）。已剔除废弃角色「阿文」，其职能并入葛西全藏与陸珣。</t>
        </is>
      </c>
    </row>
    <row r="20">
      <c r="A20" t="inlineStr">
        <is>
          <t>· 增列 正典ID / gate_pass · 插入 Vol1 A001–A005 · #1→C001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2026-06-05T02:06:17Z</dcterms:created>
  <dcterms:modified xmlns:dcterms="http://purl.org/dc/terms/" xmlns:xsi="http://www.w3.org/2001/XMLSchema-instance" xsi:type="dcterms:W3CDTF">2026-06-05T02:31:41Z</dcterms:modified>
  <cp:revision>0</cp:revision>
</cp:coreProperties>
</file>