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前100篇台账" sheetId="1" state="visible" r:id="rId3"/>
    <sheet name="知识域容量" sheetId="2" state="visible" r:id="rId4"/>
    <sheet name="说明" sheetId="3" state="visible" r:id="rId5"/>
  </sheets>
  <definedNames>
    <definedName function="false" hidden="true" localSheetId="0" name="_xlnm._FilterDatabase" vbProcedure="false">前100篇台账!$A$1:$P$101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<sst xmlns="http://schemas.openxmlformats.org/spreadsheetml/2006/main" count="1422" uniqueCount="553">
  <si>
    <t xml:space="preserve">案号</t>
  </si>
  <si>
    <t xml:space="preserve">篇名（日）</t>
  </si>
  <si>
    <t xml:space="preserve">篇名（中）</t>
  </si>
  <si>
    <t xml:space="preserve">阶段</t>
  </si>
  <si>
    <t xml:space="preserve">层级</t>
  </si>
  <si>
    <t xml:space="preserve">载体</t>
  </si>
  <si>
    <t xml:space="preserve">季节</t>
  </si>
  <si>
    <t xml:space="preserve">领衔</t>
  </si>
  <si>
    <t xml:space="preserve">参与全员</t>
  </si>
  <si>
    <r>
      <rPr>
        <b val="true"/>
        <sz val="10"/>
        <color rgb="FFFFFFFF"/>
        <rFont val="Noto Sans CJK SC"/>
        <family val="2"/>
      </rPr>
      <t xml:space="preserve">知识域 </t>
    </r>
    <r>
      <rPr>
        <b val="true"/>
        <sz val="10"/>
        <color rgb="FFFFFFFF"/>
        <rFont val="Arial"/>
        <family val="0"/>
        <charset val="1"/>
      </rPr>
      <t xml:space="preserve">1</t>
    </r>
  </si>
  <si>
    <r>
      <rPr>
        <b val="true"/>
        <sz val="10"/>
        <color rgb="FFFFFFFF"/>
        <rFont val="Noto Sans CJK SC"/>
        <family val="2"/>
      </rPr>
      <t xml:space="preserve">知识域 </t>
    </r>
    <r>
      <rPr>
        <b val="true"/>
        <sz val="10"/>
        <color rgb="FFFFFFFF"/>
        <rFont val="Arial"/>
        <family val="0"/>
        <charset val="1"/>
      </rPr>
      <t xml:space="preserve">2</t>
    </r>
  </si>
  <si>
    <r>
      <rPr>
        <b val="true"/>
        <sz val="10"/>
        <color rgb="FFFFFFFF"/>
        <rFont val="Noto Sans CJK SC"/>
        <family val="2"/>
      </rPr>
      <t xml:space="preserve">知识域 </t>
    </r>
    <r>
      <rPr>
        <b val="true"/>
        <sz val="10"/>
        <color rgb="FFFFFFFF"/>
        <rFont val="Arial"/>
        <family val="0"/>
        <charset val="1"/>
      </rPr>
      <t xml:space="preserve">3</t>
    </r>
  </si>
  <si>
    <t xml:space="preserve">三原理三元组（标准化）</t>
  </si>
  <si>
    <t xml:space="preserve">主范式</t>
  </si>
  <si>
    <t xml:space="preserve">长线标记</t>
  </si>
  <si>
    <t xml:space="preserve">重复校验</t>
  </si>
  <si>
    <t xml:space="preserve">濡れる椅子</t>
  </si>
  <si>
    <t xml:space="preserve">总是湿的椅子</t>
  </si>
  <si>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组建期</t>
    </r>
  </si>
  <si>
    <t xml:space="preserve">核心连载</t>
  </si>
  <si>
    <t xml:space="preserve">校园</t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</si>
  <si>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月</t>
    </r>
  </si>
  <si>
    <r>
      <rPr>
        <sz val="10"/>
        <rFont val="Noto Sans CJK SC"/>
        <family val="2"/>
      </rPr>
      <t xml:space="preserve">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慧美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珣</t>
    </r>
  </si>
  <si>
    <r>
      <rPr>
        <sz val="10"/>
        <rFont val="Noto Sans CJK SC"/>
        <family val="2"/>
      </rPr>
      <t xml:space="preserve">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慧美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志郎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珣（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瑆 笔记）</t>
    </r>
  </si>
  <si>
    <t xml:space="preserve">热学</t>
  </si>
  <si>
    <t xml:space="preserve">热传导</t>
  </si>
  <si>
    <t xml:space="preserve">气象</t>
  </si>
  <si>
    <r>
      <rPr>
        <sz val="9"/>
        <color rgb="FF333333"/>
        <rFont val="Noto Sans CJK SC"/>
        <family val="2"/>
      </rPr>
      <t xml:space="preserve">窗框热传导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结露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露点湿度</t>
    </r>
  </si>
  <si>
    <r>
      <rPr>
        <sz val="10"/>
        <rFont val="Noto Sans CJK SC"/>
        <family val="2"/>
      </rPr>
      <t xml:space="preserve">实验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微观</t>
    </r>
  </si>
  <si>
    <t xml:space="preserve">入社案</t>
  </si>
  <si>
    <t xml:space="preserve">転がる消しゴム</t>
  </si>
  <si>
    <t xml:space="preserve">谁偷了橡皮</t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</si>
  <si>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月</t>
    </r>
  </si>
  <si>
    <t xml:space="preserve">志郎</t>
  </si>
  <si>
    <t xml:space="preserve">力学</t>
  </si>
  <si>
    <t xml:space="preserve">材料</t>
  </si>
  <si>
    <t xml:space="preserve">行为</t>
  </si>
  <si>
    <r>
      <rPr>
        <sz val="9"/>
        <color rgb="FF333333"/>
        <rFont val="Noto Sans CJK SC"/>
        <family val="2"/>
      </rPr>
      <t xml:space="preserve">摩擦力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斜面滚动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行为习惯</t>
    </r>
  </si>
  <si>
    <t xml:space="preserve">结构还原</t>
  </si>
  <si>
    <t xml:space="preserve">アリの行列</t>
  </si>
  <si>
    <t xml:space="preserve">蚂蚁的队列</t>
  </si>
  <si>
    <r>
      <rPr>
        <sz val="10"/>
        <rFont val="Noto Sans CJK SC"/>
        <family val="2"/>
      </rPr>
      <t xml:space="preserve">校园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操场</t>
    </r>
  </si>
  <si>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月梅雨</t>
    </r>
  </si>
  <si>
    <t xml:space="preserve">珣</t>
  </si>
  <si>
    <t xml:space="preserve">生物</t>
  </si>
  <si>
    <t xml:space="preserve">化学</t>
  </si>
  <si>
    <r>
      <rPr>
        <sz val="9"/>
        <color rgb="FF333333"/>
        <rFont val="Noto Sans CJK SC"/>
        <family val="2"/>
      </rPr>
      <t xml:space="preserve">信息素挥发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昆虫信息素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湿度扩散</t>
    </r>
  </si>
  <si>
    <t xml:space="preserve">微观领域</t>
  </si>
  <si>
    <t xml:space="preserve">音楽室の和音</t>
  </si>
  <si>
    <t xml:space="preserve">音乐教室的怪声</t>
  </si>
  <si>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月</t>
    </r>
  </si>
  <si>
    <t xml:space="preserve">声学</t>
  </si>
  <si>
    <t xml:space="preserve">音乐</t>
  </si>
  <si>
    <r>
      <rPr>
        <sz val="9"/>
        <color rgb="FF333333"/>
        <rFont val="Noto Sans CJK SC"/>
        <family val="2"/>
      </rPr>
      <t xml:space="preserve">共振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和弦泛音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固体传声</t>
    </r>
  </si>
  <si>
    <t xml:space="preserve">微观</t>
  </si>
  <si>
    <t xml:space="preserve">旗竿の影</t>
  </si>
  <si>
    <t xml:space="preserve">歪掉的旗杆影子</t>
  </si>
  <si>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月运动会</t>
    </r>
  </si>
  <si>
    <r>
      <rPr>
        <sz val="10"/>
        <rFont val="Noto Sans CJK SC"/>
        <family val="2"/>
      </rPr>
      <t xml:space="preserve">慧美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珣</t>
    </r>
  </si>
  <si>
    <t xml:space="preserve">天文</t>
  </si>
  <si>
    <t xml:space="preserve">地理</t>
  </si>
  <si>
    <t xml:space="preserve">数学</t>
  </si>
  <si>
    <r>
      <rPr>
        <sz val="9"/>
        <color rgb="FF333333"/>
        <rFont val="Noto Sans CJK SC"/>
        <family val="2"/>
      </rPr>
      <t xml:space="preserve">几何投影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太阳高度角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纬度时差</t>
    </r>
  </si>
  <si>
    <r>
      <rPr>
        <sz val="10"/>
        <rFont val="Noto Sans CJK SC"/>
        <family val="2"/>
      </rPr>
      <t xml:space="preserve">实验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结构</t>
    </r>
  </si>
  <si>
    <t xml:space="preserve">蛇口のぬるま湯</t>
  </si>
  <si>
    <t xml:space="preserve">水龙头里的温水</t>
  </si>
  <si>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月</t>
    </r>
  </si>
  <si>
    <t xml:space="preserve">地质</t>
  </si>
  <si>
    <t xml:space="preserve">工程</t>
  </si>
  <si>
    <r>
      <rPr>
        <sz val="9"/>
        <color rgb="FF333333"/>
        <rFont val="Noto Sans CJK SC"/>
        <family val="2"/>
      </rPr>
      <t xml:space="preserve">土壤比热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管道埋深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管道热传导</t>
    </r>
  </si>
  <si>
    <t xml:space="preserve">植木鉢の白い骨</t>
  </si>
  <si>
    <t xml:space="preserve">花盆里的白骨</t>
  </si>
  <si>
    <r>
      <rPr>
        <sz val="10"/>
        <rFont val="Noto Sans CJK SC"/>
        <family val="2"/>
      </rPr>
      <t xml:space="preserve">校园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植物角</t>
    </r>
  </si>
  <si>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月</t>
    </r>
  </si>
  <si>
    <t xml:space="preserve">微生物</t>
  </si>
  <si>
    <t xml:space="preserve">植物</t>
  </si>
  <si>
    <r>
      <rPr>
        <sz val="9"/>
        <color rgb="FF333333"/>
        <rFont val="Noto Sans CJK SC"/>
        <family val="2"/>
      </rPr>
      <t xml:space="preserve">共生关系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真菌菌丝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菌丝代谢</t>
    </r>
  </si>
  <si>
    <t xml:space="preserve">遅れる時計</t>
  </si>
  <si>
    <t xml:space="preserve">不走的钟</t>
  </si>
  <si>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月</t>
    </r>
  </si>
  <si>
    <t xml:space="preserve">电子</t>
  </si>
  <si>
    <r>
      <rPr>
        <sz val="9"/>
        <color rgb="FF333333"/>
        <rFont val="Noto Sans CJK SC"/>
        <family val="2"/>
      </rPr>
      <t xml:space="preserve">温差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石英晶振温度特性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误差累积</t>
    </r>
  </si>
  <si>
    <t xml:space="preserve">ドアノブの火花</t>
  </si>
  <si>
    <t xml:space="preserve">会咬人的门把手</t>
  </si>
  <si>
    <r>
      <rPr>
        <sz val="10"/>
        <rFont val="Noto Sans CJK SC"/>
        <family val="2"/>
      </rPr>
      <t xml:space="preserve">校园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图书馆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</si>
  <si>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月</t>
    </r>
  </si>
  <si>
    <t xml:space="preserve">电磁</t>
  </si>
  <si>
    <r>
      <rPr>
        <sz val="9"/>
        <color rgb="FF333333"/>
        <rFont val="Noto Sans CJK SC"/>
        <family val="2"/>
      </rPr>
      <t xml:space="preserve">导电性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干燥湿度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静电</t>
    </r>
  </si>
  <si>
    <t xml:space="preserve">实验</t>
  </si>
  <si>
    <t xml:space="preserve">黒板の染み</t>
  </si>
  <si>
    <t xml:space="preserve">黑板上的印记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</si>
  <si>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月学年末</t>
    </r>
  </si>
  <si>
    <t xml:space="preserve">慧美</t>
  </si>
  <si>
    <t xml:space="preserve">光学</t>
  </si>
  <si>
    <r>
      <rPr>
        <sz val="9"/>
        <color rgb="FF333333"/>
        <rFont val="Noto Sans CJK SC"/>
        <family val="2"/>
      </rPr>
      <t xml:space="preserve">相似相溶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窗格投影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表面张力</t>
    </r>
  </si>
  <si>
    <t xml:space="preserve">廊下の口笛</t>
  </si>
  <si>
    <t xml:space="preserve">走廊的口哨声</t>
  </si>
  <si>
    <t xml:space="preserve">流体</t>
  </si>
  <si>
    <t xml:space="preserve">建筑</t>
  </si>
  <si>
    <r>
      <rPr>
        <sz val="9"/>
        <color rgb="FF333333"/>
        <rFont val="Noto Sans CJK SC"/>
        <family val="2"/>
      </rPr>
      <t xml:space="preserve">开口位置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狭管加速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风啸效应</t>
    </r>
  </si>
  <si>
    <t xml:space="preserve">浮かぶ氷</t>
  </si>
  <si>
    <t xml:space="preserve">浮起来的冰块</t>
  </si>
  <si>
    <r>
      <rPr>
        <sz val="10"/>
        <rFont val="Noto Sans CJK SC"/>
        <family val="2"/>
      </rPr>
      <t xml:space="preserve">校园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给食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</si>
  <si>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月</t>
    </r>
  </si>
  <si>
    <r>
      <rPr>
        <sz val="10"/>
        <rFont val="Noto Sans CJK SC"/>
        <family val="2"/>
      </rPr>
      <t xml:space="preserve">慧美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志郎</t>
    </r>
  </si>
  <si>
    <r>
      <rPr>
        <sz val="9"/>
        <color rgb="FF333333"/>
        <rFont val="Noto Sans CJK SC"/>
        <family val="2"/>
      </rPr>
      <t xml:space="preserve">密度差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浮力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融化吸热</t>
    </r>
  </si>
  <si>
    <t xml:space="preserve">葛西さんの古地図</t>
  </si>
  <si>
    <t xml:space="preserve">葛西爷爷的旧地图</t>
  </si>
  <si>
    <t xml:space="preserve">社区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</si>
  <si>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月</t>
    </r>
  </si>
  <si>
    <r>
      <rPr>
        <sz val="10"/>
        <rFont val="Noto Sans CJK SC"/>
        <family val="2"/>
      </rPr>
      <t xml:space="preserve">葛西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珣</t>
    </r>
  </si>
  <si>
    <r>
      <rPr>
        <sz val="10"/>
        <rFont val="Noto Sans CJK SC"/>
        <family val="2"/>
      </rPr>
      <t xml:space="preserve">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慧美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志郎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珣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葛西（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瑆 笔记）</t>
    </r>
  </si>
  <si>
    <t xml:space="preserve">历史</t>
  </si>
  <si>
    <r>
      <rPr>
        <sz val="9"/>
        <color rgb="FF333333"/>
        <rFont val="Noto Sans CJK SC"/>
        <family val="2"/>
      </rPr>
      <t xml:space="preserve">地图比例尺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地貌变迁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颜料褪色</t>
    </r>
  </si>
  <si>
    <r>
      <rPr>
        <sz val="10"/>
        <rFont val="Noto Sans CJK SC"/>
        <family val="2"/>
      </rPr>
      <t xml:space="preserve">溯源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人际</t>
    </r>
  </si>
  <si>
    <r>
      <rPr>
        <sz val="10"/>
        <rFont val="Noto Sans CJK SC"/>
        <family val="2"/>
      </rPr>
      <t xml:space="preserve">种子①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旧地图</t>
    </r>
    <r>
      <rPr>
        <sz val="10"/>
        <rFont val="Arial"/>
        <family val="0"/>
        <charset val="1"/>
      </rPr>
      <t xml:space="preserve">)</t>
    </r>
  </si>
  <si>
    <t xml:space="preserve">曲がるストロー</t>
  </si>
  <si>
    <t xml:space="preserve">弯曲的吸管</t>
  </si>
  <si>
    <t xml:space="preserve">外延单元</t>
  </si>
  <si>
    <t xml:space="preserve">家庭</t>
  </si>
  <si>
    <r>
      <rPr>
        <sz val="10"/>
        <rFont val="Noto Sans CJK SC"/>
        <family val="2"/>
      </rPr>
      <t xml:space="preserve">珣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瑆</t>
    </r>
  </si>
  <si>
    <t xml:space="preserve">感知</t>
  </si>
  <si>
    <r>
      <rPr>
        <sz val="9"/>
        <color rgb="FF333333"/>
        <rFont val="Noto Sans CJK SC"/>
        <family val="2"/>
      </rPr>
      <t xml:space="preserve">折射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液面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视错觉</t>
    </r>
  </si>
  <si>
    <t xml:space="preserve">感知预热</t>
  </si>
  <si>
    <t xml:space="preserve">におう教室</t>
  </si>
  <si>
    <t xml:space="preserve">有味道的教室</t>
  </si>
  <si>
    <t xml:space="preserve">食品化学</t>
  </si>
  <si>
    <r>
      <rPr>
        <sz val="9"/>
        <color rgb="FF333333"/>
        <rFont val="Noto Sans CJK SC"/>
        <family val="2"/>
      </rPr>
      <t xml:space="preserve">发酵气味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菌群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通风对流</t>
    </r>
  </si>
  <si>
    <t xml:space="preserve">影絵の怪</t>
  </si>
  <si>
    <t xml:space="preserve">影子戏的怪影</t>
  </si>
  <si>
    <r>
      <rPr>
        <sz val="10"/>
        <rFont val="Noto Sans CJK SC"/>
        <family val="2"/>
      </rPr>
      <t xml:space="preserve">校园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社区</t>
    </r>
  </si>
  <si>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月</t>
    </r>
  </si>
  <si>
    <t xml:space="preserve">几何</t>
  </si>
  <si>
    <r>
      <rPr>
        <sz val="9"/>
        <color rgb="FF333333"/>
        <rFont val="Noto Sans CJK SC"/>
        <family val="2"/>
      </rPr>
      <t xml:space="preserve">多光源影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投影几何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视错觉</t>
    </r>
  </si>
  <si>
    <t xml:space="preserve">動く植木</t>
  </si>
  <si>
    <t xml:space="preserve">会动的盆栽</t>
  </si>
  <si>
    <r>
      <rPr>
        <sz val="9"/>
        <color rgb="FF333333"/>
        <rFont val="Noto Sans CJK SC"/>
        <family val="2"/>
      </rPr>
      <t xml:space="preserve">光周期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向光性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膨压运动</t>
    </r>
  </si>
  <si>
    <t xml:space="preserve">鳥のものまね</t>
  </si>
  <si>
    <t xml:space="preserve">鸟的口技</t>
  </si>
  <si>
    <r>
      <rPr>
        <sz val="10"/>
        <rFont val="Noto Sans CJK SC"/>
        <family val="2"/>
      </rPr>
      <t xml:space="preserve">社区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公园</t>
    </r>
  </si>
  <si>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月</t>
    </r>
  </si>
  <si>
    <t xml:space="preserve">动物</t>
  </si>
  <si>
    <t xml:space="preserve">人体</t>
  </si>
  <si>
    <r>
      <rPr>
        <sz val="9"/>
        <color rgb="FF333333"/>
        <rFont val="Noto Sans CJK SC"/>
        <family val="2"/>
      </rPr>
      <t xml:space="preserve">听觉范围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声音频率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鸟类发声</t>
    </r>
  </si>
  <si>
    <t xml:space="preserve">濡れない傘</t>
  </si>
  <si>
    <t xml:space="preserve">淋不湿的伞</t>
  </si>
  <si>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月秋雨</t>
    </r>
  </si>
  <si>
    <r>
      <rPr>
        <sz val="9"/>
        <color rgb="FF333333"/>
        <rFont val="Noto Sans CJK SC"/>
        <family val="2"/>
      </rPr>
      <t xml:space="preserve">涂层化学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疏水表面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表面张力</t>
    </r>
  </si>
  <si>
    <t xml:space="preserve">结构</t>
  </si>
  <si>
    <t xml:space="preserve">消えた虹</t>
  </si>
  <si>
    <t xml:space="preserve">消失的彩虹</t>
  </si>
  <si>
    <r>
      <rPr>
        <sz val="9"/>
        <color rgb="FF333333"/>
        <rFont val="Noto Sans CJK SC"/>
        <family val="2"/>
      </rPr>
      <t xml:space="preserve">太阳角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水滴折射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色散</t>
    </r>
  </si>
  <si>
    <t xml:space="preserve">名古屋城のしゃちほこ</t>
  </si>
  <si>
    <t xml:space="preserve">名古屋城的金鯱</t>
  </si>
  <si>
    <r>
      <rPr>
        <sz val="10"/>
        <rFont val="Noto Sans CJK SC"/>
        <family val="2"/>
      </rPr>
      <t xml:space="preserve">城市特典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远足</t>
    </r>
  </si>
  <si>
    <r>
      <rPr>
        <sz val="10"/>
        <rFont val="Noto Sans CJK SC"/>
        <family val="2"/>
      </rPr>
      <t xml:space="preserve">志郎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珣</t>
    </r>
  </si>
  <si>
    <r>
      <rPr>
        <sz val="9"/>
        <color rgb="FF333333"/>
        <rFont val="Noto Sans CJK SC"/>
        <family val="2"/>
      </rPr>
      <t xml:space="preserve">抗震结构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避雷原理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金属氧化</t>
    </r>
  </si>
  <si>
    <r>
      <rPr>
        <sz val="10"/>
        <rFont val="Noto Sans CJK SC"/>
        <family val="2"/>
      </rPr>
      <t xml:space="preserve">结构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溯源</t>
    </r>
  </si>
  <si>
    <t xml:space="preserve">熱田の森</t>
  </si>
  <si>
    <t xml:space="preserve">热田神宫的森林</t>
  </si>
  <si>
    <r>
      <rPr>
        <sz val="9"/>
        <color rgb="FF333333"/>
        <rFont val="Noto Sans CJK SC"/>
        <family val="2"/>
      </rPr>
      <t xml:space="preserve">树冠隔音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森林微气候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空气湿度</t>
    </r>
  </si>
  <si>
    <t xml:space="preserve">犬山城の天守</t>
  </si>
  <si>
    <t xml:space="preserve">犬山城天守</t>
  </si>
  <si>
    <r>
      <rPr>
        <sz val="10"/>
        <rFont val="Noto Sans CJK SC"/>
        <family val="2"/>
      </rPr>
      <t xml:space="preserve">城市特典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修学旅行</t>
    </r>
  </si>
  <si>
    <r>
      <rPr>
        <sz val="9"/>
        <color rgb="FF333333"/>
        <rFont val="Noto Sans CJK SC"/>
        <family val="2"/>
      </rPr>
      <t xml:space="preserve">抗震阻尼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木构榫卯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重心平衡</t>
    </r>
  </si>
  <si>
    <t xml:space="preserve">リニア館の磁気</t>
  </si>
  <si>
    <t xml:space="preserve">磁浮馆的磁力</t>
  </si>
  <si>
    <r>
      <rPr>
        <sz val="10"/>
        <rFont val="Noto Sans CJK SC"/>
        <family val="2"/>
      </rPr>
      <t xml:space="preserve">城市特典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科学馆</t>
    </r>
  </si>
  <si>
    <r>
      <rPr>
        <sz val="9"/>
        <color rgb="FF333333"/>
        <rFont val="Noto Sans CJK SC"/>
        <family val="2"/>
      </rPr>
      <t xml:space="preserve">涡流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电磁感应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磁悬浮</t>
    </r>
  </si>
  <si>
    <t xml:space="preserve">動物園の鳴き声</t>
  </si>
  <si>
    <t xml:space="preserve">东山动物园的叫声</t>
  </si>
  <si>
    <t xml:space="preserve">城市特典</t>
  </si>
  <si>
    <r>
      <rPr>
        <sz val="9"/>
        <color rgb="FF333333"/>
        <rFont val="Noto Sans CJK SC"/>
        <family val="2"/>
      </rPr>
      <t xml:space="preserve">共鸣腔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动物发声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行为信号</t>
    </r>
  </si>
  <si>
    <t xml:space="preserve">プラネタリウムの北</t>
  </si>
  <si>
    <t xml:space="preserve">天文馆的北方</t>
  </si>
  <si>
    <r>
      <rPr>
        <sz val="10"/>
        <rFont val="Noto Sans CJK SC"/>
        <family val="2"/>
      </rPr>
      <t xml:space="preserve">城市特典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天文</t>
    </r>
  </si>
  <si>
    <r>
      <rPr>
        <sz val="9"/>
        <color rgb="FF333333"/>
        <rFont val="Noto Sans CJK SC"/>
        <family val="2"/>
      </rPr>
      <t xml:space="preserve">北极星定位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周日视运动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极轴</t>
    </r>
  </si>
  <si>
    <t xml:space="preserve">美術館の青</t>
  </si>
  <si>
    <t xml:space="preserve">美术馆的蓝色</t>
  </si>
  <si>
    <r>
      <rPr>
        <sz val="10"/>
        <rFont val="Noto Sans CJK SC"/>
        <family val="2"/>
      </rPr>
      <t xml:space="preserve">城市特典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主题</t>
    </r>
  </si>
  <si>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月</t>
    </r>
  </si>
  <si>
    <t xml:space="preserve">色彩</t>
  </si>
  <si>
    <r>
      <rPr>
        <sz val="9"/>
        <color rgb="FF333333"/>
        <rFont val="Noto Sans CJK SC"/>
        <family val="2"/>
      </rPr>
      <t xml:space="preserve">光反射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光致变色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矿物颜料</t>
    </r>
  </si>
  <si>
    <r>
      <rPr>
        <sz val="10"/>
        <rFont val="Noto Sans CJK SC"/>
        <family val="2"/>
      </rPr>
      <t xml:space="preserve">种子②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矿物颜料</t>
    </r>
    <r>
      <rPr>
        <sz val="10"/>
        <rFont val="Arial"/>
        <family val="0"/>
        <charset val="1"/>
      </rPr>
      <t xml:space="preserve">)</t>
    </r>
  </si>
  <si>
    <t xml:space="preserve">川の四六分水</t>
  </si>
  <si>
    <t xml:space="preserve">河边的四六分水</t>
  </si>
  <si>
    <r>
      <rPr>
        <sz val="10"/>
        <rFont val="Noto Sans CJK SC"/>
        <family val="2"/>
      </rPr>
      <t xml:space="preserve">城市特典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治水</t>
    </r>
  </si>
  <si>
    <r>
      <rPr>
        <sz val="9"/>
        <color rgb="FF333333"/>
        <rFont val="Noto Sans CJK SC"/>
        <family val="2"/>
      </rPr>
      <t xml:space="preserve">分水力学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河床形态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流速分配</t>
    </r>
  </si>
  <si>
    <t xml:space="preserve">味噌蔵の温度</t>
  </si>
  <si>
    <t xml:space="preserve">味噌作坊的温度</t>
  </si>
  <si>
    <r>
      <rPr>
        <sz val="10"/>
        <rFont val="Noto Sans CJK SC"/>
        <family val="2"/>
      </rPr>
      <t xml:space="preserve">城市特典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食农</t>
    </r>
  </si>
  <si>
    <r>
      <rPr>
        <sz val="9"/>
        <color rgb="FF333333"/>
        <rFont val="Noto Sans CJK SC"/>
        <family val="2"/>
      </rPr>
      <t xml:space="preserve">味噌发酵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恒温控制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熟成菌群</t>
    </r>
  </si>
  <si>
    <t xml:space="preserve">古い鐘の音</t>
  </si>
  <si>
    <t xml:space="preserve">古寺的钟声</t>
  </si>
  <si>
    <r>
      <rPr>
        <sz val="10"/>
        <rFont val="Noto Sans CJK SC"/>
        <family val="2"/>
      </rPr>
      <t xml:space="preserve">城市特典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历史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</si>
  <si>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月初詣</t>
    </r>
  </si>
  <si>
    <r>
      <rPr>
        <sz val="10"/>
        <rFont val="Noto Sans CJK SC"/>
        <family val="2"/>
      </rPr>
      <t xml:space="preserve">珣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葛西</t>
    </r>
  </si>
  <si>
    <r>
      <rPr>
        <sz val="9"/>
        <color rgb="FF333333"/>
        <rFont val="Noto Sans CJK SC"/>
        <family val="2"/>
      </rPr>
      <t xml:space="preserve">合金成分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声衰减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钟体共振</t>
    </r>
  </si>
  <si>
    <r>
      <rPr>
        <sz val="10"/>
        <rFont val="Noto Sans CJK SC"/>
        <family val="2"/>
      </rPr>
      <t xml:space="preserve">微观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溯源</t>
    </r>
  </si>
  <si>
    <r>
      <rPr>
        <sz val="10"/>
        <rFont val="Noto Sans CJK SC"/>
        <family val="2"/>
      </rPr>
      <t xml:space="preserve">种子③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古钟合金</t>
    </r>
    <r>
      <rPr>
        <sz val="10"/>
        <rFont val="Arial"/>
        <family val="0"/>
        <charset val="1"/>
      </rPr>
      <t xml:space="preserve">)</t>
    </r>
  </si>
  <si>
    <t xml:space="preserve">夏祭りの提灯</t>
  </si>
  <si>
    <t xml:space="preserve">夏日祭的灯笼</t>
  </si>
  <si>
    <r>
      <rPr>
        <sz val="10"/>
        <rFont val="Noto Sans CJK SC"/>
        <family val="2"/>
      </rPr>
      <t xml:space="preserve">季节特别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祭典</t>
    </r>
  </si>
  <si>
    <r>
      <rPr>
        <sz val="9"/>
        <color rgb="FF333333"/>
        <rFont val="Noto Sans CJK SC"/>
        <family val="2"/>
      </rPr>
      <t xml:space="preserve">光晕散射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热对流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空气浮力</t>
    </r>
  </si>
  <si>
    <t xml:space="preserve">花火の遅れ</t>
  </si>
  <si>
    <t xml:space="preserve">烟花的延迟</t>
  </si>
  <si>
    <r>
      <rPr>
        <sz val="9"/>
        <color rgb="FF333333"/>
        <rFont val="Noto Sans CJK SC"/>
        <family val="2"/>
      </rPr>
      <t xml:space="preserve">光速差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声速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测距计算</t>
    </r>
  </si>
  <si>
    <r>
      <rPr>
        <sz val="10"/>
        <rFont val="Noto Sans CJK SC"/>
        <family val="2"/>
      </rPr>
      <t xml:space="preserve">微观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实验</t>
    </r>
  </si>
  <si>
    <t xml:space="preserve">体育祭の白線</t>
  </si>
  <si>
    <t xml:space="preserve">运动会的白线</t>
  </si>
  <si>
    <r>
      <rPr>
        <sz val="10"/>
        <rFont val="Noto Sans CJK SC"/>
        <family val="2"/>
      </rPr>
      <t xml:space="preserve">季节特别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校园</t>
    </r>
  </si>
  <si>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月运动会</t>
    </r>
  </si>
  <si>
    <r>
      <rPr>
        <sz val="9"/>
        <color rgb="FF333333"/>
        <rFont val="Noto Sans CJK SC"/>
        <family val="2"/>
      </rPr>
      <t xml:space="preserve">直线测放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石灰反应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粉末附着</t>
    </r>
  </si>
  <si>
    <t xml:space="preserve">落ち葉の渦</t>
  </si>
  <si>
    <t xml:space="preserve">落叶的漩涡</t>
  </si>
  <si>
    <r>
      <rPr>
        <sz val="10"/>
        <rFont val="Noto Sans CJK SC"/>
        <family val="2"/>
      </rPr>
      <t xml:space="preserve">季节特别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秋</t>
    </r>
  </si>
  <si>
    <r>
      <rPr>
        <sz val="9"/>
        <color rgb="FF333333"/>
        <rFont val="Noto Sans CJK SC"/>
        <family val="2"/>
      </rPr>
      <t xml:space="preserve">卡门涡街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涡流脱落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风压</t>
    </r>
  </si>
  <si>
    <t xml:space="preserve">給食のゼリー</t>
  </si>
  <si>
    <t xml:space="preserve">给食的果冻</t>
  </si>
  <si>
    <r>
      <rPr>
        <sz val="10"/>
        <rFont val="Noto Sans CJK SC"/>
        <family val="2"/>
      </rPr>
      <t xml:space="preserve">主题专项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食品</t>
    </r>
  </si>
  <si>
    <r>
      <rPr>
        <sz val="9"/>
        <color rgb="FF333333"/>
        <rFont val="Noto Sans CJK SC"/>
        <family val="2"/>
      </rPr>
      <t xml:space="preserve">凝胶化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温度控制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蛋白酶</t>
    </r>
  </si>
  <si>
    <t xml:space="preserve">図書室の迷子本</t>
  </si>
  <si>
    <t xml:space="preserve">图书室的迷路书</t>
  </si>
  <si>
    <r>
      <rPr>
        <sz val="10"/>
        <rFont val="Noto Sans CJK SC"/>
        <family val="2"/>
      </rPr>
      <t xml:space="preserve">主题专项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图书馆学</t>
    </r>
  </si>
  <si>
    <t xml:space="preserve">瑆</t>
  </si>
  <si>
    <t xml:space="preserve">图书馆学</t>
  </si>
  <si>
    <t xml:space="preserve">逻辑</t>
  </si>
  <si>
    <t xml:space="preserve">心理</t>
  </si>
  <si>
    <r>
      <rPr>
        <sz val="9"/>
        <color rgb="FF333333"/>
        <rFont val="Noto Sans CJK SC"/>
        <family val="2"/>
      </rPr>
      <t xml:space="preserve">借阅行为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图书分类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索书号系统</t>
    </r>
  </si>
  <si>
    <r>
      <rPr>
        <sz val="10"/>
        <rFont val="Noto Sans CJK SC"/>
        <family val="2"/>
      </rPr>
      <t xml:space="preserve">人际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逻辑</t>
    </r>
  </si>
  <si>
    <t xml:space="preserve">自由研究の失敗</t>
  </si>
  <si>
    <t xml:space="preserve">自由研究的失败</t>
  </si>
  <si>
    <r>
      <rPr>
        <sz val="10"/>
        <rFont val="Noto Sans CJK SC"/>
        <family val="2"/>
      </rPr>
      <t xml:space="preserve">季节特别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暑假</t>
    </r>
  </si>
  <si>
    <t xml:space="preserve">实验方法</t>
  </si>
  <si>
    <r>
      <rPr>
        <sz val="9"/>
        <color rgb="FF333333"/>
        <rFont val="Noto Sans CJK SC"/>
        <family val="2"/>
      </rPr>
      <t xml:space="preserve">实验误差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对照实验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概率思维</t>
    </r>
  </si>
  <si>
    <t xml:space="preserve">雪の朝の足跡</t>
  </si>
  <si>
    <t xml:space="preserve">雪天早晨的脚印</t>
  </si>
  <si>
    <r>
      <rPr>
        <sz val="10"/>
        <rFont val="Noto Sans CJK SC"/>
        <family val="2"/>
      </rPr>
      <t xml:space="preserve">季节特别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冬</t>
    </r>
  </si>
  <si>
    <t xml:space="preserve">物态</t>
  </si>
  <si>
    <r>
      <rPr>
        <sz val="9"/>
        <color rgb="FF333333"/>
        <rFont val="Noto Sans CJK SC"/>
        <family val="2"/>
      </rPr>
      <t xml:space="preserve">压力融化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痕迹错视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雪面热传导</t>
    </r>
  </si>
  <si>
    <t xml:space="preserve">風の日の窓</t>
  </si>
  <si>
    <t xml:space="preserve">刮风天的窗户</t>
  </si>
  <si>
    <r>
      <rPr>
        <sz val="10"/>
        <rFont val="Noto Sans CJK SC"/>
        <family val="2"/>
      </rPr>
      <t xml:space="preserve">主题专项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建筑物理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</si>
  <si>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月春一番</t>
    </r>
  </si>
  <si>
    <r>
      <rPr>
        <sz val="9"/>
        <color rgb="FF333333"/>
        <rFont val="Noto Sans CJK SC"/>
        <family val="2"/>
      </rPr>
      <t xml:space="preserve">伯努利效应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建筑风压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缝隙啸声</t>
    </r>
  </si>
  <si>
    <t xml:space="preserve">古いラジオの声</t>
  </si>
  <si>
    <t xml:space="preserve">旧收音机的杂音</t>
  </si>
  <si>
    <r>
      <rPr>
        <sz val="10"/>
        <rFont val="Noto Sans CJK SC"/>
        <family val="2"/>
      </rPr>
      <t xml:space="preserve">主题专项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电</t>
    </r>
  </si>
  <si>
    <r>
      <rPr>
        <sz val="9"/>
        <color rgb="FF333333"/>
        <rFont val="Noto Sans CJK SC"/>
        <family val="2"/>
      </rPr>
      <t xml:space="preserve">天线接收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无线电串扰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电磁屏蔽</t>
    </r>
  </si>
  <si>
    <t xml:space="preserve">色が違う絵</t>
  </si>
  <si>
    <t xml:space="preserve">颜色不对的画</t>
  </si>
  <si>
    <r>
      <rPr>
        <sz val="10"/>
        <rFont val="Arial"/>
        <family val="0"/>
        <charset val="1"/>
      </rPr>
      <t xml:space="preserve">II </t>
    </r>
    <r>
      <rPr>
        <sz val="10"/>
        <rFont val="Noto Sans CJK SC"/>
        <family val="2"/>
      </rPr>
      <t xml:space="preserve">感知期</t>
    </r>
  </si>
  <si>
    <r>
      <rPr>
        <sz val="10"/>
        <rFont val="Noto Sans CJK SC"/>
        <family val="2"/>
      </rPr>
      <t xml:space="preserve">主题专项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感知</t>
    </r>
  </si>
  <si>
    <r>
      <rPr>
        <sz val="10"/>
        <rFont val="Noto Sans CJK SC"/>
        <family val="2"/>
      </rPr>
      <t xml:space="preserve">理紗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慧美</t>
    </r>
  </si>
  <si>
    <r>
      <rPr>
        <sz val="10"/>
        <rFont val="Noto Sans CJK SC"/>
        <family val="2"/>
      </rPr>
      <t xml:space="preserve">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慧美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志郎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珣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理紗（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瑆 笔记）</t>
    </r>
  </si>
  <si>
    <r>
      <rPr>
        <sz val="9"/>
        <color rgb="FF333333"/>
        <rFont val="Noto Sans CJK SC"/>
        <family val="2"/>
      </rPr>
      <t xml:space="preserve">条件等色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色彩恒常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色温</t>
    </r>
  </si>
  <si>
    <r>
      <rPr>
        <sz val="10"/>
        <rFont val="Noto Sans CJK SC"/>
        <family val="2"/>
      </rPr>
      <t xml:space="preserve">感知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实验</t>
    </r>
  </si>
  <si>
    <t xml:space="preserve">理紗入社</t>
  </si>
  <si>
    <t xml:space="preserve">聞こえないノック</t>
  </si>
  <si>
    <t xml:space="preserve">听不见的敲门</t>
  </si>
  <si>
    <r>
      <rPr>
        <sz val="10"/>
        <rFont val="Noto Sans CJK SC"/>
        <family val="2"/>
      </rPr>
      <t xml:space="preserve">主题专项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声</t>
    </r>
  </si>
  <si>
    <r>
      <rPr>
        <sz val="10"/>
        <rFont val="Noto Sans CJK SC"/>
        <family val="2"/>
      </rPr>
      <t xml:space="preserve">理紗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珣</t>
    </r>
  </si>
  <si>
    <t xml:space="preserve">物理</t>
  </si>
  <si>
    <r>
      <rPr>
        <sz val="9"/>
        <color rgb="FF333333"/>
        <rFont val="Noto Sans CJK SC"/>
        <family val="2"/>
      </rPr>
      <t xml:space="preserve">听觉频率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空腔共鸣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超声波</t>
    </r>
  </si>
  <si>
    <r>
      <rPr>
        <sz val="10"/>
        <rFont val="Noto Sans CJK SC"/>
        <family val="2"/>
      </rPr>
      <t xml:space="preserve">感知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微观</t>
    </r>
  </si>
  <si>
    <t xml:space="preserve">鏡の中の文字</t>
  </si>
  <si>
    <t xml:space="preserve">镜中的文字</t>
  </si>
  <si>
    <r>
      <rPr>
        <sz val="10"/>
        <rFont val="Noto Sans CJK SC"/>
        <family val="2"/>
      </rPr>
      <t xml:space="preserve">主题专项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光</t>
    </r>
  </si>
  <si>
    <r>
      <rPr>
        <sz val="9"/>
        <color rgb="FF333333"/>
        <rFont val="Noto Sans CJK SC"/>
        <family val="2"/>
      </rPr>
      <t xml:space="preserve">左右镜像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空间认知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镜面反射</t>
    </r>
  </si>
  <si>
    <t xml:space="preserve">にじむ夕焼け</t>
  </si>
  <si>
    <t xml:space="preserve">晕开的晚霞</t>
  </si>
  <si>
    <r>
      <rPr>
        <sz val="10"/>
        <rFont val="Noto Sans CJK SC"/>
        <family val="2"/>
      </rPr>
      <t xml:space="preserve">主题专项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气象光</t>
    </r>
  </si>
  <si>
    <r>
      <rPr>
        <sz val="9"/>
        <color rgb="FF333333"/>
        <rFont val="Noto Sans CJK SC"/>
        <family val="2"/>
      </rPr>
      <t xml:space="preserve">大气色散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瑞利散射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雾汽散射</t>
    </r>
  </si>
  <si>
    <t xml:space="preserve">動かない秒針</t>
  </si>
  <si>
    <t xml:space="preserve">不动的秒针</t>
  </si>
  <si>
    <r>
      <rPr>
        <sz val="10"/>
        <rFont val="Noto Sans CJK SC"/>
        <family val="2"/>
      </rPr>
      <t xml:space="preserve">主题专项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感知光</t>
    </r>
  </si>
  <si>
    <r>
      <rPr>
        <sz val="9"/>
        <color rgb="FF333333"/>
        <rFont val="Noto Sans CJK SC"/>
        <family val="2"/>
      </rPr>
      <t xml:space="preserve">周期同步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视觉暂留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频闪错觉</t>
    </r>
  </si>
  <si>
    <t xml:space="preserve">影が二つ</t>
  </si>
  <si>
    <t xml:space="preserve">两个影子</t>
  </si>
  <si>
    <r>
      <rPr>
        <sz val="9"/>
        <color rgb="FF333333"/>
        <rFont val="Noto Sans CJK SC"/>
        <family val="2"/>
      </rPr>
      <t xml:space="preserve">投影叠加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本影半影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点光源阵列</t>
    </r>
  </si>
  <si>
    <t xml:space="preserve">透明な膜の色</t>
  </si>
  <si>
    <t xml:space="preserve">透明膜的颜色</t>
  </si>
  <si>
    <r>
      <rPr>
        <sz val="10"/>
        <rFont val="Noto Sans CJK SC"/>
        <family val="2"/>
      </rPr>
      <t xml:space="preserve">主题专项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光材料</t>
    </r>
  </si>
  <si>
    <r>
      <rPr>
        <sz val="9"/>
        <color rgb="FF333333"/>
        <rFont val="Noto Sans CJK SC"/>
        <family val="2"/>
      </rPr>
      <t xml:space="preserve">折射率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膜厚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薄膜干涉</t>
    </r>
  </si>
  <si>
    <t xml:space="preserve">凍る池の音</t>
  </si>
  <si>
    <t xml:space="preserve">结冰池塘的声音</t>
  </si>
  <si>
    <r>
      <rPr>
        <sz val="9"/>
        <color rgb="FF333333"/>
        <rFont val="Noto Sans CJK SC"/>
        <family val="2"/>
      </rPr>
      <t xml:space="preserve">低温传声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冰层振动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热胀冷缩</t>
    </r>
  </si>
  <si>
    <t xml:space="preserve">曲がって見える線路</t>
  </si>
  <si>
    <t xml:space="preserve">看起来弯的铁轨</t>
  </si>
  <si>
    <r>
      <rPr>
        <sz val="10"/>
        <rFont val="Noto Sans CJK SC"/>
        <family val="2"/>
      </rPr>
      <t xml:space="preserve">城市特典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感知</t>
    </r>
  </si>
  <si>
    <r>
      <rPr>
        <sz val="9"/>
        <color rgb="FF333333"/>
        <rFont val="Noto Sans CJK SC"/>
        <family val="2"/>
      </rPr>
      <t xml:space="preserve">热气折射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距离错视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透视收敛</t>
    </r>
  </si>
  <si>
    <t xml:space="preserve">葛西さんの古写真</t>
  </si>
  <si>
    <t xml:space="preserve">葛西爷爷的旧照片</t>
  </si>
  <si>
    <t xml:space="preserve">范式深化</t>
  </si>
  <si>
    <r>
      <rPr>
        <sz val="10"/>
        <rFont val="Noto Sans CJK SC"/>
        <family val="2"/>
      </rPr>
      <t xml:space="preserve">社区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长线</t>
    </r>
  </si>
  <si>
    <r>
      <rPr>
        <sz val="10"/>
        <rFont val="Noto Sans CJK SC"/>
        <family val="2"/>
      </rPr>
      <t xml:space="preserve">葛西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瑆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理紗</t>
    </r>
  </si>
  <si>
    <r>
      <rPr>
        <sz val="10"/>
        <rFont val="Noto Sans CJK SC"/>
        <family val="2"/>
      </rPr>
      <t xml:space="preserve">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慧美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志郎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珣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理紗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葛西（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瑆 主笔）</t>
    </r>
  </si>
  <si>
    <r>
      <rPr>
        <sz val="9"/>
        <color rgb="FF333333"/>
        <rFont val="Noto Sans CJK SC"/>
        <family val="2"/>
      </rPr>
      <t xml:space="preserve">城市变迁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照片褪色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银盐化学</t>
    </r>
  </si>
  <si>
    <r>
      <rPr>
        <sz val="10"/>
        <rFont val="Noto Sans CJK SC"/>
        <family val="2"/>
      </rPr>
      <t xml:space="preserve">溯源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人际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感知</t>
    </r>
  </si>
  <si>
    <t xml:space="preserve">长线收束点①</t>
  </si>
  <si>
    <t xml:space="preserve">窯変の招き猫</t>
  </si>
  <si>
    <t xml:space="preserve">常滑招财猫的窑变色</t>
  </si>
  <si>
    <r>
      <rPr>
        <sz val="10"/>
        <rFont val="Noto Sans CJK SC"/>
        <family val="2"/>
      </rPr>
      <t xml:space="preserve">城市特典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常滑</t>
    </r>
  </si>
  <si>
    <r>
      <rPr>
        <sz val="9"/>
        <color rgb="FF333333"/>
        <rFont val="Noto Sans CJK SC"/>
        <family val="2"/>
      </rPr>
      <t xml:space="preserve">窑温梯度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还原焰氧化焰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釉料金属呈色</t>
    </r>
  </si>
  <si>
    <t xml:space="preserve">瀬戸物のひび</t>
  </si>
  <si>
    <t xml:space="preserve">濑户陶器的裂纹</t>
  </si>
  <si>
    <r>
      <rPr>
        <sz val="10"/>
        <rFont val="Noto Sans CJK SC"/>
        <family val="2"/>
      </rPr>
      <t xml:space="preserve">城市特典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瀬戸</t>
    </r>
  </si>
  <si>
    <r>
      <rPr>
        <sz val="9"/>
        <color rgb="FF333333"/>
        <rFont val="Noto Sans CJK SC"/>
        <family val="2"/>
      </rPr>
      <t xml:space="preserve">急冷应力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敲击声判别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釉面热膨胀差</t>
    </r>
  </si>
  <si>
    <t xml:space="preserve">中谷くんの一枚</t>
  </si>
  <si>
    <t xml:space="preserve">中谷的一张照片</t>
  </si>
  <si>
    <r>
      <rPr>
        <sz val="10"/>
        <rFont val="Noto Sans CJK SC"/>
        <family val="2"/>
      </rPr>
      <t xml:space="preserve">主题专项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摄影</t>
    </r>
  </si>
  <si>
    <r>
      <rPr>
        <sz val="10"/>
        <rFont val="Noto Sans CJK SC"/>
        <family val="2"/>
      </rPr>
      <t xml:space="preserve">中谷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瑆</t>
    </r>
  </si>
  <si>
    <r>
      <rPr>
        <sz val="10"/>
        <rFont val="Noto Sans CJK SC"/>
        <family val="2"/>
      </rPr>
      <t xml:space="preserve">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慧美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志郎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珣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理紗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中谷（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瑆 笔记）</t>
    </r>
  </si>
  <si>
    <r>
      <rPr>
        <sz val="9"/>
        <color rgb="FF333333"/>
        <rFont val="Noto Sans CJK SC"/>
        <family val="2"/>
      </rPr>
      <t xml:space="preserve">时序证据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景深光圈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运动模糊</t>
    </r>
  </si>
  <si>
    <r>
      <rPr>
        <sz val="10"/>
        <rFont val="Noto Sans CJK SC"/>
        <family val="2"/>
      </rPr>
      <t xml:space="preserve">人际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实验</t>
    </r>
  </si>
  <si>
    <t xml:space="preserve">中谷入队</t>
  </si>
  <si>
    <t xml:space="preserve">神社の鈴</t>
  </si>
  <si>
    <t xml:space="preserve">神社铃铛的声音</t>
  </si>
  <si>
    <r>
      <rPr>
        <sz val="10"/>
        <rFont val="Noto Sans CJK SC"/>
        <family val="2"/>
      </rPr>
      <t xml:space="preserve">城市特典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神社</t>
    </r>
  </si>
  <si>
    <r>
      <rPr>
        <sz val="9"/>
        <color rgb="FF333333"/>
        <rFont val="Noto Sans CJK SC"/>
        <family val="2"/>
      </rPr>
      <t xml:space="preserve">拍频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金属铃共鸣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风激振动</t>
    </r>
  </si>
  <si>
    <t xml:space="preserve">古井戸の水位</t>
  </si>
  <si>
    <t xml:space="preserve">古井的水位</t>
  </si>
  <si>
    <r>
      <rPr>
        <sz val="10"/>
        <rFont val="Noto Sans CJK SC"/>
        <family val="2"/>
      </rPr>
      <t xml:space="preserve">社区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历史</t>
    </r>
  </si>
  <si>
    <r>
      <rPr>
        <sz val="10"/>
        <rFont val="Noto Sans CJK SC"/>
        <family val="2"/>
      </rPr>
      <t xml:space="preserve">志郎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葛西</t>
    </r>
  </si>
  <si>
    <r>
      <rPr>
        <sz val="10"/>
        <rFont val="Noto Sans CJK SC"/>
        <family val="2"/>
      </rPr>
      <t xml:space="preserve">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慧美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志郎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珣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理紗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中谷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葛西（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瑆 笔记）</t>
    </r>
  </si>
  <si>
    <r>
      <rPr>
        <sz val="9"/>
        <color rgb="FF333333"/>
        <rFont val="Noto Sans CJK SC"/>
        <family val="2"/>
      </rPr>
      <t xml:space="preserve">地下水位变化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连通器原理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降水滞后</t>
    </r>
  </si>
  <si>
    <t xml:space="preserve">切手の裏の文字</t>
  </si>
  <si>
    <t xml:space="preserve">邮票背面的字</t>
  </si>
  <si>
    <r>
      <rPr>
        <sz val="10"/>
        <rFont val="Noto Sans CJK SC"/>
        <family val="2"/>
      </rPr>
      <t xml:space="preserve">主题专项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显色</t>
    </r>
  </si>
  <si>
    <r>
      <rPr>
        <sz val="10"/>
        <rFont val="Noto Sans CJK SC"/>
        <family val="2"/>
      </rPr>
      <t xml:space="preserve">慧美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中谷</t>
    </r>
  </si>
  <si>
    <r>
      <rPr>
        <sz val="9"/>
        <color rgb="FF333333"/>
        <rFont val="Noto Sans CJK SC"/>
        <family val="2"/>
      </rPr>
      <t xml:space="preserve">紫外荧光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胶层吸湿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隐显墨水</t>
    </r>
  </si>
  <si>
    <t xml:space="preserve">鏡池の逆さ富士</t>
  </si>
  <si>
    <t xml:space="preserve">镜池的倒影</t>
  </si>
  <si>
    <r>
      <rPr>
        <sz val="10"/>
        <rFont val="Noto Sans CJK SC"/>
        <family val="2"/>
      </rPr>
      <t xml:space="preserve">城市特典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水镜</t>
    </r>
  </si>
  <si>
    <t xml:space="preserve">理紗</t>
  </si>
  <si>
    <r>
      <rPr>
        <sz val="9"/>
        <color rgb="FF333333"/>
        <rFont val="Noto Sans CJK SC"/>
        <family val="2"/>
      </rPr>
      <t xml:space="preserve">对称成像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水面镜反射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风浪扰动</t>
    </r>
  </si>
  <si>
    <t xml:space="preserve">回り灯籠</t>
  </si>
  <si>
    <t xml:space="preserve">走马灯的影</t>
  </si>
  <si>
    <r>
      <rPr>
        <sz val="10"/>
        <rFont val="Noto Sans CJK SC"/>
        <family val="2"/>
      </rPr>
      <t xml:space="preserve">季节特别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主题</t>
    </r>
  </si>
  <si>
    <r>
      <rPr>
        <sz val="10"/>
        <rFont val="Noto Sans CJK SC"/>
        <family val="2"/>
      </rPr>
      <t xml:space="preserve">珣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理紗</t>
    </r>
  </si>
  <si>
    <r>
      <rPr>
        <sz val="9"/>
        <color rgb="FF333333"/>
        <rFont val="Noto Sans CJK SC"/>
        <family val="2"/>
      </rPr>
      <t xml:space="preserve">旋转投影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暂留残像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热气流驱动</t>
    </r>
  </si>
  <si>
    <r>
      <rPr>
        <sz val="10"/>
        <rFont val="Noto Sans CJK SC"/>
        <family val="2"/>
      </rPr>
      <t xml:space="preserve">微观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感知</t>
    </r>
  </si>
  <si>
    <t xml:space="preserve">合掌造りの屋根</t>
  </si>
  <si>
    <t xml:space="preserve">飞驒合掌屋顶</t>
  </si>
  <si>
    <r>
      <rPr>
        <sz val="10"/>
        <rFont val="Noto Sans CJK SC"/>
        <family val="2"/>
      </rPr>
      <t xml:space="preserve">城市特典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飛騨</t>
    </r>
  </si>
  <si>
    <r>
      <rPr>
        <sz val="9"/>
        <color rgb="FF333333"/>
        <rFont val="Noto Sans CJK SC"/>
        <family val="2"/>
      </rPr>
      <t xml:space="preserve">烟熏防虫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茅葺隔热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陡坡排雪</t>
    </r>
  </si>
  <si>
    <t xml:space="preserve">養老の滝の虹</t>
  </si>
  <si>
    <t xml:space="preserve">养老瀑布的彩虹</t>
  </si>
  <si>
    <r>
      <rPr>
        <sz val="10"/>
        <rFont val="Noto Sans CJK SC"/>
        <family val="2"/>
      </rPr>
      <t xml:space="preserve">城市特典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養老</t>
    </r>
  </si>
  <si>
    <r>
      <rPr>
        <sz val="9"/>
        <color rgb="FF333333"/>
        <rFont val="Noto Sans CJK SC"/>
        <family val="2"/>
      </rPr>
      <t xml:space="preserve">偏振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太阳方位角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水雾色散</t>
    </r>
  </si>
  <si>
    <t xml:space="preserve">関ヶ原の風</t>
  </si>
  <si>
    <t xml:space="preserve">关原的风与雾</t>
  </si>
  <si>
    <r>
      <rPr>
        <sz val="9"/>
        <color rgb="FF333333"/>
        <rFont val="Noto Sans CJK SC"/>
        <family val="2"/>
      </rPr>
      <t xml:space="preserve">古战场地形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盆地地形风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辐射雾形成</t>
    </r>
  </si>
  <si>
    <r>
      <rPr>
        <sz val="10"/>
        <rFont val="Noto Sans CJK SC"/>
        <family val="2"/>
      </rPr>
      <t xml:space="preserve">溯源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微观</t>
    </r>
  </si>
  <si>
    <t xml:space="preserve">古文書の褪せ墨</t>
  </si>
  <si>
    <t xml:space="preserve">古书信的褪墨</t>
  </si>
  <si>
    <r>
      <rPr>
        <sz val="10"/>
        <rFont val="Noto Sans CJK SC"/>
        <family val="2"/>
      </rPr>
      <t xml:space="preserve">葛西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瑆</t>
    </r>
  </si>
  <si>
    <r>
      <rPr>
        <sz val="9"/>
        <color rgb="FF333333"/>
        <rFont val="Noto Sans CJK SC"/>
        <family val="2"/>
      </rPr>
      <t xml:space="preserve">古文字识读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纸张酸化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铁胆墨水氧化</t>
    </r>
  </si>
  <si>
    <r>
      <rPr>
        <sz val="10"/>
        <rFont val="Noto Sans CJK SC"/>
        <family val="2"/>
      </rPr>
      <t xml:space="preserve">种子④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古书信</t>
    </r>
    <r>
      <rPr>
        <sz val="10"/>
        <rFont val="Arial"/>
        <family val="0"/>
        <charset val="1"/>
      </rPr>
      <t xml:space="preserve">)</t>
    </r>
  </si>
  <si>
    <t xml:space="preserve">七輪の炭火</t>
  </si>
  <si>
    <t xml:space="preserve">七轮炭火的温度</t>
  </si>
  <si>
    <r>
      <rPr>
        <sz val="10"/>
        <rFont val="Noto Sans CJK SC"/>
        <family val="2"/>
      </rPr>
      <t xml:space="preserve">主题专项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食农</t>
    </r>
  </si>
  <si>
    <r>
      <rPr>
        <sz val="9"/>
        <color rgb="FF333333"/>
        <rFont val="Noto Sans CJK SC"/>
        <family val="2"/>
      </rPr>
      <t xml:space="preserve">不完全燃烧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红外辐射加热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通风控温</t>
    </r>
  </si>
  <si>
    <t xml:space="preserve">招き猫の右手左手</t>
  </si>
  <si>
    <t xml:space="preserve">招财猫举哪只手</t>
  </si>
  <si>
    <r>
      <rPr>
        <sz val="10"/>
        <rFont val="Noto Sans CJK SC"/>
        <family val="2"/>
      </rPr>
      <t xml:space="preserve">主题专项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民俗</t>
    </r>
  </si>
  <si>
    <r>
      <rPr>
        <sz val="10"/>
        <rFont val="Noto Sans CJK SC"/>
        <family val="2"/>
      </rPr>
      <t xml:space="preserve">瑆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理紗</t>
    </r>
  </si>
  <si>
    <t xml:space="preserve">民俗</t>
  </si>
  <si>
    <r>
      <rPr>
        <sz val="9"/>
        <color rgb="FF333333"/>
        <rFont val="Noto Sans CJK SC"/>
        <family val="2"/>
      </rPr>
      <t xml:space="preserve">左右习惯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记忆错误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镜像对称</t>
    </r>
  </si>
  <si>
    <r>
      <rPr>
        <sz val="10"/>
        <rFont val="Noto Sans CJK SC"/>
        <family val="2"/>
      </rPr>
      <t xml:space="preserve">人际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感知</t>
    </r>
  </si>
  <si>
    <t xml:space="preserve">潮だまりの生き物</t>
  </si>
  <si>
    <t xml:space="preserve">海边潮池的生物</t>
  </si>
  <si>
    <r>
      <rPr>
        <sz val="10"/>
        <rFont val="Noto Sans CJK SC"/>
        <family val="2"/>
      </rPr>
      <t xml:space="preserve">城市特典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海岸</t>
    </r>
  </si>
  <si>
    <r>
      <rPr>
        <sz val="9"/>
        <color rgb="FF333333"/>
        <rFont val="Noto Sans CJK SC"/>
        <family val="2"/>
      </rPr>
      <t xml:space="preserve">潮汐月相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潮间带生态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蒸发盐度</t>
    </r>
  </si>
  <si>
    <t xml:space="preserve">灯台の光</t>
  </si>
  <si>
    <t xml:space="preserve">灯塔的光</t>
  </si>
  <si>
    <r>
      <rPr>
        <sz val="9"/>
        <color rgb="FF333333"/>
        <rFont val="Noto Sans CJK SC"/>
        <family val="2"/>
      </rPr>
      <t xml:space="preserve">旋转周期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菲涅尔透镜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雾中能见度</t>
    </r>
  </si>
  <si>
    <t xml:space="preserve">鳴き砂</t>
  </si>
  <si>
    <t xml:space="preserve">海滩的鸣沙</t>
  </si>
  <si>
    <r>
      <rPr>
        <sz val="9"/>
        <color rgb="FF333333"/>
        <rFont val="Noto Sans CJK SC"/>
        <family val="2"/>
      </rPr>
      <t xml:space="preserve">干湿影响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砂粒均匀度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鸣沙摩擦发声</t>
    </r>
  </si>
  <si>
    <t xml:space="preserve">酒蔵の泡</t>
  </si>
  <si>
    <t xml:space="preserve">老酒窖的气泡</t>
  </si>
  <si>
    <r>
      <rPr>
        <sz val="9"/>
        <color rgb="FF333333"/>
        <rFont val="Noto Sans CJK SC"/>
        <family val="2"/>
      </rPr>
      <t xml:space="preserve">发酵产气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杂菌污染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温度发酵速率</t>
    </r>
  </si>
  <si>
    <t xml:space="preserve">神楽面の表情</t>
  </si>
  <si>
    <t xml:space="preserve">神乐面具的表情</t>
  </si>
  <si>
    <r>
      <rPr>
        <sz val="10"/>
        <rFont val="Noto Sans CJK SC"/>
        <family val="2"/>
      </rPr>
      <t xml:space="preserve">理紗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瑆</t>
    </r>
  </si>
  <si>
    <r>
      <rPr>
        <sz val="9"/>
        <color rgb="FF333333"/>
        <rFont val="Noto Sans CJK SC"/>
        <family val="2"/>
      </rPr>
      <t xml:space="preserve">符号识别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视角表情错觉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阴影塑形</t>
    </r>
  </si>
  <si>
    <r>
      <rPr>
        <sz val="10"/>
        <rFont val="Noto Sans CJK SC"/>
        <family val="2"/>
      </rPr>
      <t xml:space="preserve">感知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人际</t>
    </r>
  </si>
  <si>
    <t xml:space="preserve">古墳の石室</t>
  </si>
  <si>
    <t xml:space="preserve">古坟石室的凉</t>
  </si>
  <si>
    <r>
      <rPr>
        <sz val="10"/>
        <rFont val="Noto Sans CJK SC"/>
        <family val="2"/>
      </rPr>
      <t xml:space="preserve">城市特典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考古</t>
    </r>
  </si>
  <si>
    <r>
      <rPr>
        <sz val="9"/>
        <color rgb="FF333333"/>
        <rFont val="Noto Sans CJK SC"/>
        <family val="2"/>
      </rPr>
      <t xml:space="preserve">地中恒温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石室结露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石材热惰性</t>
    </r>
  </si>
  <si>
    <t xml:space="preserve">だるまの目</t>
  </si>
  <si>
    <t xml:space="preserve">不倒翁的眼睛</t>
  </si>
  <si>
    <r>
      <rPr>
        <sz val="9"/>
        <color rgb="FF333333"/>
        <rFont val="Noto Sans CJK SC"/>
        <family val="2"/>
      </rPr>
      <t xml:space="preserve">低重心稳定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摆动阻尼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民俗祈愿</t>
    </r>
  </si>
  <si>
    <t xml:space="preserve">茶室のにじり口</t>
  </si>
  <si>
    <t xml:space="preserve">茶室小门的光</t>
  </si>
  <si>
    <r>
      <rPr>
        <sz val="10"/>
        <rFont val="Noto Sans CJK SC"/>
        <family val="2"/>
      </rPr>
      <t xml:space="preserve">城市特典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茶道</t>
    </r>
  </si>
  <si>
    <r>
      <rPr>
        <sz val="9"/>
        <color rgb="FF333333"/>
        <rFont val="Noto Sans CJK SC"/>
        <family val="2"/>
      </rPr>
      <t xml:space="preserve">小开口采光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明暗适应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空间心理</t>
    </r>
  </si>
  <si>
    <t xml:space="preserve">古地図の道</t>
  </si>
  <si>
    <t xml:space="preserve">古地图上的路</t>
  </si>
  <si>
    <r>
      <rPr>
        <sz val="9"/>
        <color rgb="FF333333"/>
        <rFont val="Noto Sans CJK SC"/>
        <family val="2"/>
      </rPr>
      <t xml:space="preserve">古道选线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磁偏角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等高线判读</t>
    </r>
  </si>
  <si>
    <r>
      <rPr>
        <sz val="10"/>
        <rFont val="Noto Sans CJK SC"/>
        <family val="2"/>
      </rPr>
      <t xml:space="preserve">长线收束点②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地图线</t>
    </r>
    <r>
      <rPr>
        <sz val="10"/>
        <rFont val="Arial"/>
        <family val="0"/>
        <charset val="1"/>
      </rPr>
      <t xml:space="preserve">)</t>
    </r>
  </si>
  <si>
    <t xml:space="preserve">提灯行列の灯</t>
  </si>
  <si>
    <t xml:space="preserve">灯笼游行的火</t>
  </si>
  <si>
    <r>
      <rPr>
        <sz val="9"/>
        <color rgb="FF333333"/>
        <rFont val="Noto Sans CJK SC"/>
        <family val="2"/>
      </rPr>
      <t xml:space="preserve">群体光感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蜡烛对流焰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风中焰倾</t>
    </r>
  </si>
  <si>
    <t xml:space="preserve">古時計の振り子</t>
  </si>
  <si>
    <t xml:space="preserve">老座钟的钟摆</t>
  </si>
  <si>
    <r>
      <rPr>
        <sz val="10"/>
        <rFont val="Noto Sans CJK SC"/>
        <family val="2"/>
      </rPr>
      <t xml:space="preserve">主题专项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历史</t>
    </r>
  </si>
  <si>
    <r>
      <rPr>
        <sz val="9"/>
        <color rgb="FF333333"/>
        <rFont val="Noto Sans CJK SC"/>
        <family val="2"/>
      </rPr>
      <t xml:space="preserve">单摆周期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摆长热胀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走时误差</t>
    </r>
  </si>
  <si>
    <t xml:space="preserve">藍染め</t>
  </si>
  <si>
    <t xml:space="preserve">染坊的蓝</t>
  </si>
  <si>
    <r>
      <rPr>
        <sz val="10"/>
        <rFont val="Noto Sans CJK SC"/>
        <family val="2"/>
      </rPr>
      <t xml:space="preserve">城市特典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染织</t>
    </r>
  </si>
  <si>
    <r>
      <rPr>
        <sz val="10"/>
        <rFont val="Noto Sans CJK SC"/>
        <family val="2"/>
      </rPr>
      <t xml:space="preserve">慧美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理紗</t>
    </r>
  </si>
  <si>
    <r>
      <rPr>
        <sz val="9"/>
        <color rgb="FF333333"/>
        <rFont val="Noto Sans CJK SC"/>
        <family val="2"/>
      </rPr>
      <t xml:space="preserve">媒染固色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阳光褪色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靛蓝氧化显色</t>
    </r>
  </si>
  <si>
    <r>
      <rPr>
        <sz val="10"/>
        <rFont val="Noto Sans CJK SC"/>
        <family val="2"/>
      </rPr>
      <t xml:space="preserve">实验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感知</t>
    </r>
  </si>
  <si>
    <t xml:space="preserve">絞りの模様</t>
  </si>
  <si>
    <t xml:space="preserve">绞染的花纹</t>
  </si>
  <si>
    <r>
      <rPr>
        <sz val="10"/>
        <rFont val="Noto Sans CJK SC"/>
        <family val="2"/>
      </rPr>
      <t xml:space="preserve">主题专项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染织</t>
    </r>
  </si>
  <si>
    <r>
      <rPr>
        <sz val="9"/>
        <color rgb="FF333333"/>
        <rFont val="Noto Sans CJK SC"/>
        <family val="2"/>
      </rPr>
      <t xml:space="preserve">折叠对称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毛细渗透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防染几何</t>
    </r>
  </si>
  <si>
    <t xml:space="preserve">古い写真機</t>
  </si>
  <si>
    <t xml:space="preserve">老相机的成像</t>
  </si>
  <si>
    <r>
      <rPr>
        <sz val="10"/>
        <rFont val="Noto Sans CJK SC"/>
        <family val="2"/>
      </rPr>
      <t xml:space="preserve">中谷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珣</t>
    </r>
  </si>
  <si>
    <r>
      <rPr>
        <sz val="9"/>
        <color rgb="FF333333"/>
        <rFont val="Noto Sans CJK SC"/>
        <family val="2"/>
      </rPr>
      <t xml:space="preserve">感光银盐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曝光时间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镜头成像</t>
    </r>
  </si>
  <si>
    <t xml:space="preserve">雪国の二重窓</t>
  </si>
  <si>
    <t xml:space="preserve">雪国的双层窗</t>
  </si>
  <si>
    <r>
      <rPr>
        <sz val="10"/>
        <rFont val="Noto Sans CJK SC"/>
        <family val="2"/>
      </rPr>
      <t xml:space="preserve">城市特典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雪国</t>
    </r>
  </si>
  <si>
    <r>
      <rPr>
        <sz val="9"/>
        <color rgb="FF333333"/>
        <rFont val="Noto Sans CJK SC"/>
        <family val="2"/>
      </rPr>
      <t xml:space="preserve">双窗防结露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室内外温差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空气隔热层</t>
    </r>
  </si>
  <si>
    <t xml:space="preserve">温泉の湯けむり</t>
  </si>
  <si>
    <t xml:space="preserve">温泉的雾气</t>
  </si>
  <si>
    <r>
      <rPr>
        <sz val="10"/>
        <rFont val="Noto Sans CJK SC"/>
        <family val="2"/>
      </rPr>
      <t xml:space="preserve">城市特典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温泉</t>
    </r>
  </si>
  <si>
    <r>
      <rPr>
        <sz val="9"/>
        <color rgb="FF333333"/>
        <rFont val="Noto Sans CJK SC"/>
        <family val="2"/>
      </rPr>
      <t xml:space="preserve">地热升温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硫磺气味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蒸汽凝结</t>
    </r>
  </si>
  <si>
    <t xml:space="preserve">陶鈴の音</t>
  </si>
  <si>
    <t xml:space="preserve">陶铃的音高</t>
  </si>
  <si>
    <r>
      <rPr>
        <sz val="10"/>
        <rFont val="Noto Sans CJK SC"/>
        <family val="2"/>
      </rPr>
      <t xml:space="preserve">主题专项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陶</t>
    </r>
  </si>
  <si>
    <r>
      <rPr>
        <sz val="9"/>
        <color rgb="FF333333"/>
        <rFont val="Noto Sans CJK SC"/>
        <family val="2"/>
      </rPr>
      <t xml:space="preserve">共鸣放大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空腔体积音高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陶壁厚度</t>
    </r>
  </si>
  <si>
    <t xml:space="preserve">棚田の水</t>
  </si>
  <si>
    <t xml:space="preserve">梯田的水</t>
  </si>
  <si>
    <r>
      <rPr>
        <sz val="10"/>
        <rFont val="Noto Sans CJK SC"/>
        <family val="2"/>
      </rPr>
      <t xml:space="preserve">城市特典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农</t>
    </r>
  </si>
  <si>
    <r>
      <rPr>
        <sz val="9"/>
        <color rgb="FF333333"/>
        <rFont val="Noto Sans CJK SC"/>
        <family val="2"/>
      </rPr>
      <t xml:space="preserve">土壤保水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水温调节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自流灌溉</t>
    </r>
  </si>
  <si>
    <t xml:space="preserve">蛍の光</t>
  </si>
  <si>
    <t xml:space="preserve">萤火虫的光</t>
  </si>
  <si>
    <r>
      <rPr>
        <sz val="10"/>
        <rFont val="Noto Sans CJK SC"/>
        <family val="2"/>
      </rPr>
      <t xml:space="preserve">季节特别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生物</t>
    </r>
  </si>
  <si>
    <r>
      <rPr>
        <sz val="9"/>
        <color rgb="FF333333"/>
        <rFont val="Noto Sans CJK SC"/>
        <family val="2"/>
      </rPr>
      <t xml:space="preserve">求偶节律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温湿影响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生物发光</t>
    </r>
  </si>
  <si>
    <t xml:space="preserve">古銭の緑青</t>
  </si>
  <si>
    <t xml:space="preserve">古钱的铜绿</t>
  </si>
  <si>
    <r>
      <rPr>
        <sz val="10"/>
        <rFont val="Noto Sans CJK SC"/>
        <family val="2"/>
      </rPr>
      <t xml:space="preserve">葛西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慧美</t>
    </r>
  </si>
  <si>
    <r>
      <rPr>
        <sz val="9"/>
        <color rgb="FF333333"/>
        <rFont val="Noto Sans CJK SC"/>
        <family val="2"/>
      </rPr>
      <t xml:space="preserve">酸雨加速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铜锈电化学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锈层年代</t>
    </r>
  </si>
  <si>
    <r>
      <rPr>
        <sz val="10"/>
        <rFont val="Noto Sans CJK SC"/>
        <family val="2"/>
      </rPr>
      <t xml:space="preserve">溯源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实验</t>
    </r>
  </si>
  <si>
    <r>
      <rPr>
        <sz val="10"/>
        <rFont val="Noto Sans CJK SC"/>
        <family val="2"/>
      </rPr>
      <t xml:space="preserve">种子⑤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古钱</t>
    </r>
    <r>
      <rPr>
        <sz val="10"/>
        <rFont val="Arial"/>
        <family val="0"/>
        <charset val="1"/>
      </rPr>
      <t xml:space="preserve">)</t>
    </r>
  </si>
  <si>
    <t xml:space="preserve">紙風船</t>
  </si>
  <si>
    <t xml:space="preserve">纸气球的浮沉</t>
  </si>
  <si>
    <t xml:space="preserve">主题专项</t>
  </si>
  <si>
    <r>
      <rPr>
        <sz val="9"/>
        <color rgb="FF333333"/>
        <rFont val="Noto Sans CJK SC"/>
        <family val="2"/>
      </rPr>
      <t xml:space="preserve">弹性恢复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形状稳定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空气阻力</t>
    </r>
  </si>
  <si>
    <t xml:space="preserve">影踏み</t>
  </si>
  <si>
    <t xml:space="preserve">踩影子游戏</t>
  </si>
  <si>
    <r>
      <rPr>
        <sz val="10"/>
        <rFont val="Noto Sans CJK SC"/>
        <family val="2"/>
      </rPr>
      <t xml:space="preserve">慧美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瑆</t>
    </r>
  </si>
  <si>
    <r>
      <rPr>
        <sz val="9"/>
        <color rgb="FF333333"/>
        <rFont val="Noto Sans CJK SC"/>
        <family val="2"/>
      </rPr>
      <t xml:space="preserve">影长比例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时刻变化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相似三角形</t>
    </r>
  </si>
  <si>
    <r>
      <rPr>
        <sz val="10"/>
        <rFont val="Noto Sans CJK SC"/>
        <family val="2"/>
      </rPr>
      <t xml:space="preserve">实验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人际</t>
    </r>
  </si>
  <si>
    <t xml:space="preserve">古井戸のこだま</t>
  </si>
  <si>
    <t xml:space="preserve">古井的回声</t>
  </si>
  <si>
    <r>
      <rPr>
        <sz val="9"/>
        <color rgb="FF333333"/>
        <rFont val="Noto Sans CJK SC"/>
        <family val="2"/>
      </rPr>
      <t xml:space="preserve">井筒驻波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回声延时测深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水面反声</t>
    </r>
  </si>
  <si>
    <t xml:space="preserve">紅葉の色</t>
  </si>
  <si>
    <t xml:space="preserve">红叶的颜色</t>
  </si>
  <si>
    <r>
      <rPr>
        <sz val="9"/>
        <color rgb="FF333333"/>
        <rFont val="Noto Sans CJK SC"/>
        <family val="2"/>
      </rPr>
      <t xml:space="preserve">低温触发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光照影响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色素转换</t>
    </r>
  </si>
  <si>
    <t xml:space="preserve">古鏡の曇り</t>
  </si>
  <si>
    <t xml:space="preserve">古镜的雾面</t>
  </si>
  <si>
    <r>
      <rPr>
        <sz val="10"/>
        <rFont val="Noto Sans CJK SC"/>
        <family val="2"/>
      </rPr>
      <t xml:space="preserve">葛西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理紗</t>
    </r>
  </si>
  <si>
    <r>
      <rPr>
        <sz val="9"/>
        <color rgb="FF333333"/>
        <rFont val="Noto Sans CJK SC"/>
        <family val="2"/>
      </rPr>
      <t xml:space="preserve">反射率下降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抛光技艺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镜面氧化</t>
    </r>
  </si>
  <si>
    <r>
      <rPr>
        <sz val="10"/>
        <rFont val="Noto Sans CJK SC"/>
        <family val="2"/>
      </rPr>
      <t xml:space="preserve">溯源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感知</t>
    </r>
  </si>
  <si>
    <t xml:space="preserve">除夜の鐘</t>
  </si>
  <si>
    <t xml:space="preserve">除夕的钟声</t>
  </si>
  <si>
    <r>
      <rPr>
        <sz val="10"/>
        <rFont val="Noto Sans CJK SC"/>
        <family val="2"/>
      </rPr>
      <t xml:space="preserve">季节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长线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</si>
  <si>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月除夕</t>
    </r>
  </si>
  <si>
    <r>
      <rPr>
        <sz val="9"/>
        <color rgb="FF333333"/>
        <rFont val="Noto Sans CJK SC"/>
        <family val="2"/>
      </rPr>
      <t xml:space="preserve">大钟低频共振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民俗数理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远距传声衰减</t>
    </r>
  </si>
  <si>
    <r>
      <rPr>
        <sz val="10"/>
        <rFont val="Noto Sans CJK SC"/>
        <family val="2"/>
      </rPr>
      <t xml:space="preserve">长线收束点③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钟声线</t>
    </r>
    <r>
      <rPr>
        <sz val="10"/>
        <rFont val="Arial"/>
        <family val="0"/>
        <charset val="1"/>
      </rPr>
      <t xml:space="preserve">)</t>
    </r>
  </si>
  <si>
    <t xml:space="preserve">古写真と今</t>
  </si>
  <si>
    <t xml:space="preserve">老照片与今天</t>
  </si>
  <si>
    <r>
      <rPr>
        <sz val="10"/>
        <rFont val="Arial"/>
        <family val="0"/>
        <charset val="1"/>
      </rPr>
      <t xml:space="preserve">III </t>
    </r>
    <r>
      <rPr>
        <sz val="10"/>
        <rFont val="Noto Sans CJK SC"/>
        <family val="2"/>
      </rPr>
      <t xml:space="preserve">拓展期</t>
    </r>
  </si>
  <si>
    <r>
      <rPr>
        <sz val="10"/>
        <rFont val="Noto Sans CJK SC"/>
        <family val="2"/>
      </rPr>
      <t xml:space="preserve">拓展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长线</t>
    </r>
  </si>
  <si>
    <r>
      <rPr>
        <sz val="10"/>
        <rFont val="Noto Sans CJK SC"/>
        <family val="2"/>
      </rPr>
      <t xml:space="preserve">中谷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葛西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瑆</t>
    </r>
  </si>
  <si>
    <r>
      <rPr>
        <sz val="10"/>
        <rFont val="Noto Sans CJK SC"/>
        <family val="2"/>
      </rPr>
      <t xml:space="preserve">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慧美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志郎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珣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理紗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中谷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葛西（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瑆 主笔）</t>
    </r>
  </si>
  <si>
    <r>
      <rPr>
        <sz val="9"/>
        <color rgb="FF333333"/>
        <rFont val="Noto Sans CJK SC"/>
        <family val="2"/>
      </rPr>
      <t xml:space="preserve">城市变迁比对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拍摄方位推定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照片透视复原</t>
    </r>
  </si>
  <si>
    <r>
      <rPr>
        <sz val="10"/>
        <rFont val="Noto Sans CJK SC"/>
        <family val="2"/>
      </rPr>
      <t xml:space="preserve">长线收束点④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三线初汇</t>
    </r>
    <r>
      <rPr>
        <sz val="10"/>
        <rFont val="Arial"/>
        <family val="0"/>
        <charset val="1"/>
      </rPr>
      <t xml:space="preserve">)</t>
    </r>
  </si>
  <si>
    <t xml:space="preserve">失われた水路</t>
  </si>
  <si>
    <t xml:space="preserve">消失的水渠</t>
  </si>
  <si>
    <r>
      <rPr>
        <sz val="10"/>
        <rFont val="Noto Sans CJK SC"/>
        <family val="2"/>
      </rPr>
      <t xml:space="preserve">拓展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历史复合</t>
    </r>
  </si>
  <si>
    <r>
      <rPr>
        <sz val="9"/>
        <color rgb="FF333333"/>
        <rFont val="Noto Sans CJK SC"/>
        <family val="2"/>
      </rPr>
      <t xml:space="preserve">古水利图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地势流向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遗迹定位</t>
    </r>
  </si>
  <si>
    <t xml:space="preserve">祭りの起源</t>
  </si>
  <si>
    <t xml:space="preserve">祭典的起源</t>
  </si>
  <si>
    <r>
      <rPr>
        <sz val="10"/>
        <rFont val="Noto Sans CJK SC"/>
        <family val="2"/>
      </rPr>
      <t xml:space="preserve">拓展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民俗复合</t>
    </r>
  </si>
  <si>
    <r>
      <rPr>
        <sz val="10"/>
        <rFont val="Noto Sans CJK SC"/>
        <family val="2"/>
      </rPr>
      <t xml:space="preserve">瑆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珣</t>
    </r>
  </si>
  <si>
    <r>
      <rPr>
        <sz val="9"/>
        <color rgb="FF333333"/>
        <rFont val="Noto Sans CJK SC"/>
        <family val="2"/>
      </rPr>
      <t xml:space="preserve">历法节气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口传演变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物候农时</t>
    </r>
  </si>
  <si>
    <r>
      <rPr>
        <sz val="10"/>
        <rFont val="Noto Sans CJK SC"/>
        <family val="2"/>
      </rPr>
      <t xml:space="preserve">人际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微观</t>
    </r>
  </si>
  <si>
    <t xml:space="preserve">古道の道標</t>
  </si>
  <si>
    <t xml:space="preserve">古道的路标石</t>
  </si>
  <si>
    <r>
      <rPr>
        <sz val="9"/>
        <color rgb="FF333333"/>
        <rFont val="Noto Sans CJK SC"/>
        <family val="2"/>
      </rPr>
      <t xml:space="preserve">古道刻字识读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度量衡变迁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风化定年</t>
    </r>
  </si>
  <si>
    <t xml:space="preserve">川の名前</t>
  </si>
  <si>
    <t xml:space="preserve">河川名字之谜</t>
  </si>
  <si>
    <r>
      <rPr>
        <sz val="10"/>
        <rFont val="Noto Sans CJK SC"/>
        <family val="2"/>
      </rPr>
      <t xml:space="preserve">拓展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语言地理</t>
    </r>
  </si>
  <si>
    <r>
      <rPr>
        <sz val="10"/>
        <rFont val="Noto Sans CJK SC"/>
        <family val="2"/>
      </rPr>
      <t xml:space="preserve">瑆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葛西</t>
    </r>
  </si>
  <si>
    <r>
      <rPr>
        <sz val="9"/>
        <color rgb="FF333333"/>
        <rFont val="Noto Sans CJK SC"/>
        <family val="2"/>
      </rPr>
      <t xml:space="preserve">地名语源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地形对应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河道变迁</t>
    </r>
  </si>
  <si>
    <r>
      <rPr>
        <sz val="10"/>
        <rFont val="Noto Sans CJK SC"/>
        <family val="2"/>
      </rPr>
      <t xml:space="preserve">人际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溯源</t>
    </r>
  </si>
  <si>
    <t xml:space="preserve">古い橋</t>
  </si>
  <si>
    <t xml:space="preserve">老桥的力学</t>
  </si>
  <si>
    <r>
      <rPr>
        <sz val="10"/>
        <rFont val="Noto Sans CJK SC"/>
        <family val="2"/>
      </rPr>
      <t xml:space="preserve">拓展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结构复合</t>
    </r>
  </si>
  <si>
    <r>
      <rPr>
        <sz val="9"/>
        <color rgb="FF333333"/>
        <rFont val="Noto Sans CJK SC"/>
        <family val="2"/>
      </rPr>
      <t xml:space="preserve">拱桥推力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百年沉降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石材抗压</t>
    </r>
  </si>
  <si>
    <t xml:space="preserve">古星図</t>
  </si>
  <si>
    <t xml:space="preserve">古星图与夜空</t>
  </si>
  <si>
    <r>
      <rPr>
        <sz val="10"/>
        <rFont val="Noto Sans CJK SC"/>
        <family val="2"/>
      </rPr>
      <t xml:space="preserve">拓展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天文复合</t>
    </r>
  </si>
  <si>
    <r>
      <rPr>
        <sz val="10"/>
        <rFont val="Noto Sans CJK SC"/>
        <family val="2"/>
      </rPr>
      <t xml:space="preserve">珣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慧美</t>
    </r>
  </si>
  <si>
    <r>
      <rPr>
        <sz val="9"/>
        <color rgb="FF333333"/>
        <rFont val="Noto Sans CJK SC"/>
        <family val="2"/>
      </rPr>
      <t xml:space="preserve">古图坐标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大气消光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岁差星移</t>
    </r>
  </si>
  <si>
    <t xml:space="preserve">消えた職人技</t>
  </si>
  <si>
    <t xml:space="preserve">消失的手艺</t>
  </si>
  <si>
    <r>
      <rPr>
        <sz val="10"/>
        <rFont val="Noto Sans CJK SC"/>
        <family val="2"/>
      </rPr>
      <t xml:space="preserve">拓展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工艺复合</t>
    </r>
  </si>
  <si>
    <r>
      <rPr>
        <sz val="10"/>
        <rFont val="Noto Sans CJK SC"/>
        <family val="2"/>
      </rPr>
      <t xml:space="preserve">慧美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葛西</t>
    </r>
  </si>
  <si>
    <r>
      <rPr>
        <sz val="9"/>
        <color rgb="FF333333"/>
        <rFont val="Noto Sans CJK SC"/>
        <family val="2"/>
      </rPr>
      <t xml:space="preserve">口述史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工具痕迹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配方逆推</t>
    </r>
  </si>
  <si>
    <r>
      <rPr>
        <sz val="10"/>
        <rFont val="Noto Sans CJK SC"/>
        <family val="2"/>
      </rPr>
      <t xml:space="preserve">实验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溯源</t>
    </r>
  </si>
  <si>
    <t xml:space="preserve">街の音風景</t>
  </si>
  <si>
    <t xml:space="preserve">城市的声音地景</t>
  </si>
  <si>
    <r>
      <rPr>
        <sz val="10"/>
        <rFont val="Noto Sans CJK SC"/>
        <family val="2"/>
      </rPr>
      <t xml:space="preserve">拓展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声学复合</t>
    </r>
  </si>
  <si>
    <r>
      <rPr>
        <sz val="9"/>
        <color rgb="FF333333"/>
        <rFont val="Noto Sans CJK SC"/>
        <family val="2"/>
      </rPr>
      <t xml:space="preserve">声景变迁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多普勒频移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建筑混响</t>
    </r>
  </si>
  <si>
    <r>
      <rPr>
        <sz val="10"/>
        <rFont val="Noto Sans CJK SC"/>
        <family val="2"/>
      </rPr>
      <t xml:space="preserve">微观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人际</t>
    </r>
  </si>
  <si>
    <t xml:space="preserve">観察社の十年後</t>
  </si>
  <si>
    <t xml:space="preserve">观察社的十年后</t>
  </si>
  <si>
    <r>
      <rPr>
        <sz val="10"/>
        <rFont val="Noto Sans CJK SC"/>
        <family val="2"/>
      </rPr>
      <t xml:space="preserve">拓展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重返预告</t>
    </r>
  </si>
  <si>
    <r>
      <rPr>
        <sz val="10"/>
        <rFont val="Noto Sans CJK SC"/>
        <family val="2"/>
      </rPr>
      <t xml:space="preserve">瑆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光</t>
    </r>
  </si>
  <si>
    <r>
      <rPr>
        <sz val="10"/>
        <rFont val="Noto Sans CJK SC"/>
        <family val="2"/>
      </rPr>
      <t xml:space="preserve">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慧美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志郎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珣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理紗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中谷（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瑆 主笔）</t>
    </r>
  </si>
  <si>
    <r>
      <rPr>
        <sz val="9"/>
        <color rgb="FF333333"/>
        <rFont val="Noto Sans CJK SC"/>
        <family val="2"/>
      </rPr>
      <t xml:space="preserve">气候露点变化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热桥效应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长期数据对比</t>
    </r>
  </si>
  <si>
    <r>
      <rPr>
        <sz val="10"/>
        <rFont val="Noto Sans CJK SC"/>
        <family val="2"/>
      </rPr>
      <t xml:space="preserve">系统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人际</t>
    </r>
  </si>
  <si>
    <r>
      <rPr>
        <sz val="10"/>
        <rFont val="Noto Sans CJK SC"/>
        <family val="2"/>
      </rPr>
      <t xml:space="preserve">重返预告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回望案①</t>
    </r>
    <r>
      <rPr>
        <sz val="10"/>
        <rFont val="Arial"/>
        <family val="0"/>
        <charset val="1"/>
      </rPr>
      <t xml:space="preserve">)</t>
    </r>
  </si>
  <si>
    <t xml:space="preserve">知识域</t>
  </si>
  <si>
    <r>
      <rPr>
        <b val="true"/>
        <sz val="10"/>
        <color rgb="FFFFFFFF"/>
        <rFont val="Noto Sans CJK SC"/>
        <family val="2"/>
      </rPr>
      <t xml:space="preserve">前</t>
    </r>
    <r>
      <rPr>
        <b val="true"/>
        <sz val="10"/>
        <color rgb="FFFFFFFF"/>
        <rFont val="Arial"/>
        <family val="0"/>
        <charset val="1"/>
      </rPr>
      <t xml:space="preserve">100</t>
    </r>
    <r>
      <rPr>
        <b val="true"/>
        <sz val="10"/>
        <color rgb="FFFFFFFF"/>
        <rFont val="Noto Sans CJK SC"/>
        <family val="2"/>
      </rPr>
      <t xml:space="preserve">篇出现次数</t>
    </r>
  </si>
  <si>
    <t xml:space="preserve">占比</t>
  </si>
  <si>
    <t xml:space="preserve">说明</t>
  </si>
  <si>
    <t xml:space="preserve">组合层去重；单域可在不同三元组中复现</t>
  </si>
  <si>
    <r>
      <rPr>
        <b val="true"/>
        <sz val="10"/>
        <rFont val="Noto Sans CJK SC"/>
        <family val="2"/>
      </rPr>
      <t xml:space="preserve">合计（应</t>
    </r>
    <r>
      <rPr>
        <b val="true"/>
        <sz val="10"/>
        <rFont val="Arial"/>
        <family val="0"/>
        <charset val="1"/>
      </rPr>
      <t xml:space="preserve">=300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</si>
  <si>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2"/>
        <rFont val="Noto Sans CJK SC"/>
        <family val="2"/>
      </rPr>
      <t xml:space="preserve">《学堂奇事録》</t>
    </r>
    <r>
      <rPr>
        <b val="true"/>
        <sz val="12"/>
        <rFont val="Arial"/>
        <family val="0"/>
        <charset val="1"/>
      </rPr>
      <t xml:space="preserve">· </t>
    </r>
    <r>
      <rPr>
        <b val="true"/>
        <sz val="12"/>
        <rFont val="Noto Sans CJK SC"/>
        <family val="2"/>
      </rPr>
      <t xml:space="preserve">前</t>
    </r>
    <r>
      <rPr>
        <b val="true"/>
        <sz val="12"/>
        <rFont val="Arial"/>
        <family val="0"/>
        <charset val="1"/>
      </rPr>
      <t xml:space="preserve">100</t>
    </r>
    <r>
      <rPr>
        <b val="true"/>
        <sz val="12"/>
        <rFont val="Noto Sans CJK SC"/>
        <family val="2"/>
      </rPr>
      <t xml:space="preserve">篇原理去重台账</t>
    </r>
  </si>
  <si>
    <r>
      <rPr>
        <sz val="10"/>
        <rFont val="Noto Sans CJK SC"/>
        <family val="2"/>
      </rPr>
      <t xml:space="preserve">范围：第 </t>
    </r>
    <r>
      <rPr>
        <sz val="10"/>
        <rFont val="Arial"/>
        <family val="0"/>
        <charset val="1"/>
      </rPr>
      <t xml:space="preserve">1–100 </t>
    </r>
    <r>
      <rPr>
        <sz val="10"/>
        <rFont val="Noto Sans CJK SC"/>
        <family val="2"/>
      </rPr>
      <t xml:space="preserve">篇。</t>
    </r>
    <r>
      <rPr>
        <sz val="10"/>
        <rFont val="Arial"/>
        <family val="0"/>
        <charset val="1"/>
      </rPr>
      <t xml:space="preserve">1–40 = I </t>
    </r>
    <r>
      <rPr>
        <sz val="10"/>
        <rFont val="Noto Sans CJK SC"/>
        <family val="2"/>
      </rPr>
      <t xml:space="preserve">组建期；</t>
    </r>
    <r>
      <rPr>
        <sz val="10"/>
        <rFont val="Arial"/>
        <family val="0"/>
        <charset val="1"/>
      </rPr>
      <t xml:space="preserve">41–90 = II </t>
    </r>
    <r>
      <rPr>
        <sz val="10"/>
        <rFont val="Noto Sans CJK SC"/>
        <family val="2"/>
      </rPr>
      <t xml:space="preserve">感知期；</t>
    </r>
    <r>
      <rPr>
        <sz val="10"/>
        <rFont val="Arial"/>
        <family val="0"/>
        <charset val="1"/>
      </rPr>
      <t xml:space="preserve">91–100 = III </t>
    </r>
    <r>
      <rPr>
        <sz val="10"/>
        <rFont val="Noto Sans CJK SC"/>
        <family val="2"/>
      </rPr>
      <t xml:space="preserve">拓展期开篇。</t>
    </r>
  </si>
  <si>
    <r>
      <rPr>
        <sz val="10"/>
        <rFont val="Arial"/>
        <family val="0"/>
        <charset val="1"/>
      </rPr>
      <t xml:space="preserve">51–100 </t>
    </r>
    <r>
      <rPr>
        <sz val="10"/>
        <rFont val="Noto Sans CJK SC"/>
        <family val="2"/>
      </rPr>
      <t xml:space="preserve">为城市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历史复合密集区：载体重心压在「城市特典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社区历史长线」，葛西记忆线在此逐段展开。</t>
    </r>
  </si>
  <si>
    <r>
      <rPr>
        <sz val="10"/>
        <rFont val="Noto Sans CJK SC"/>
        <family val="2"/>
      </rPr>
      <t xml:space="preserve">行底色：黄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长线种子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收束点；浅绿</t>
    </r>
    <r>
      <rPr>
        <sz val="10"/>
        <rFont val="Arial"/>
        <family val="0"/>
        <charset val="1"/>
      </rPr>
      <t xml:space="preserve">=II </t>
    </r>
    <r>
      <rPr>
        <sz val="10"/>
        <rFont val="Noto Sans CJK SC"/>
        <family val="2"/>
      </rPr>
      <t xml:space="preserve">感知期</t>
    </r>
    <r>
      <rPr>
        <sz val="10"/>
        <rFont val="Arial"/>
        <family val="0"/>
        <charset val="1"/>
      </rPr>
      <t xml:space="preserve">(51–90)</t>
    </r>
    <r>
      <rPr>
        <sz val="10"/>
        <rFont val="Noto Sans CJK SC"/>
        <family val="2"/>
      </rPr>
      <t xml:space="preserve">；浅橙</t>
    </r>
    <r>
      <rPr>
        <sz val="10"/>
        <rFont val="Arial"/>
        <family val="0"/>
        <charset val="1"/>
      </rPr>
      <t xml:space="preserve">=III </t>
    </r>
    <r>
      <rPr>
        <sz val="10"/>
        <rFont val="Noto Sans CJK SC"/>
        <family val="2"/>
      </rPr>
      <t xml:space="preserve">拓展期</t>
    </r>
    <r>
      <rPr>
        <sz val="10"/>
        <rFont val="Arial"/>
        <family val="0"/>
        <charset val="1"/>
      </rPr>
      <t xml:space="preserve">(91–100)</t>
    </r>
    <r>
      <rPr>
        <sz val="10"/>
        <rFont val="Noto Sans CJK SC"/>
        <family val="2"/>
      </rPr>
      <t xml:space="preserve">。</t>
    </r>
  </si>
  <si>
    <t xml:space="preserve">去重机制：</t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</si>
  <si>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「三原理三元组（标准化）」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三个核心原理排序后用 </t>
    </r>
    <r>
      <rPr>
        <sz val="10"/>
        <rFont val="Arial"/>
        <family val="0"/>
        <charset val="1"/>
      </rPr>
      <t xml:space="preserve">+  </t>
    </r>
    <r>
      <rPr>
        <sz val="10"/>
        <rFont val="Noto Sans CJK SC"/>
        <family val="2"/>
      </rPr>
      <t xml:space="preserve">连接，是去重唯一键。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</si>
  <si>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「重复校验」</t>
    </r>
    <r>
      <rPr>
        <sz val="10"/>
        <rFont val="Arial"/>
        <family val="0"/>
        <charset val="1"/>
      </rPr>
      <t xml:space="preserve">=COUNTIF </t>
    </r>
    <r>
      <rPr>
        <sz val="10"/>
        <rFont val="Noto Sans CJK SC"/>
        <family val="2"/>
      </rPr>
      <t xml:space="preserve">自动比对全 </t>
    </r>
    <r>
      <rPr>
        <sz val="10"/>
        <rFont val="Arial"/>
        <family val="0"/>
        <charset val="1"/>
      </rPr>
      <t xml:space="preserve">100 </t>
    </r>
    <r>
      <rPr>
        <sz val="10"/>
        <rFont val="Noto Sans CJK SC"/>
        <family val="2"/>
      </rPr>
      <t xml:space="preserve">行；当前应全部显示「唯一」。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</si>
  <si>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去重在「组合」层级——单域（气象、光学、历史…）可在不同三元组中复现，三元组本身唯一即可。</t>
    </r>
  </si>
  <si>
    <r>
      <rPr>
        <sz val="10"/>
        <rFont val="Noto Sans CJK SC"/>
        <family val="2"/>
      </rPr>
      <t xml:space="preserve">人物加入节点：陸珣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第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篇；山本理紗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第</t>
    </r>
    <r>
      <rPr>
        <sz val="10"/>
        <rFont val="Arial"/>
        <family val="0"/>
        <charset val="1"/>
      </rPr>
      <t xml:space="preserve">41</t>
    </r>
    <r>
      <rPr>
        <sz val="10"/>
        <rFont val="Noto Sans CJK SC"/>
        <family val="2"/>
      </rPr>
      <t xml:space="preserve">篇；中谷琦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第</t>
    </r>
    <r>
      <rPr>
        <sz val="10"/>
        <rFont val="Arial"/>
        <family val="0"/>
        <charset val="1"/>
      </rPr>
      <t xml:space="preserve">53</t>
    </r>
    <r>
      <rPr>
        <sz val="10"/>
        <rFont val="Noto Sans CJK SC"/>
        <family val="2"/>
      </rPr>
      <t xml:space="preserve">篇；葛西全藏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历史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旧物案不定期出场。</t>
    </r>
  </si>
  <si>
    <r>
      <rPr>
        <sz val="10"/>
        <rFont val="Noto Sans CJK SC"/>
        <family val="2"/>
      </rPr>
      <t xml:space="preserve">陸瑆成长：</t>
    </r>
    <r>
      <rPr>
        <sz val="10"/>
        <rFont val="Arial"/>
        <family val="0"/>
        <charset val="1"/>
      </rPr>
      <t xml:space="preserve">41</t>
    </r>
    <r>
      <rPr>
        <sz val="10"/>
        <rFont val="Noto Sans CJK SC"/>
        <family val="2"/>
      </rPr>
      <t xml:space="preserve">篇起从记录者转向独立推理，</t>
    </r>
    <r>
      <rPr>
        <sz val="10"/>
        <rFont val="Arial"/>
        <family val="0"/>
        <charset val="1"/>
      </rPr>
      <t xml:space="preserve">III </t>
    </r>
    <r>
      <rPr>
        <sz val="10"/>
        <rFont val="Noto Sans CJK SC"/>
        <family val="2"/>
      </rPr>
      <t xml:space="preserve">拓展期多次领衔（</t>
    </r>
    <r>
      <rPr>
        <sz val="10"/>
        <rFont val="Arial"/>
        <family val="0"/>
        <charset val="1"/>
      </rPr>
      <t xml:space="preserve">91/93/95/100</t>
    </r>
    <r>
      <rPr>
        <sz val="1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</si>
  <si>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新增第 </t>
    </r>
    <r>
      <rPr>
        <b val="true"/>
        <sz val="10"/>
        <rFont val="Arial"/>
        <family val="0"/>
        <charset val="1"/>
      </rPr>
      <t xml:space="preserve">101 </t>
    </r>
    <r>
      <rPr>
        <b val="true"/>
        <sz val="10"/>
        <rFont val="Noto Sans CJK SC"/>
        <family val="2"/>
      </rPr>
      <t xml:space="preserve">篇及以后：</t>
    </r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</si>
  <si>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定三个核心原理 → 排序写入「三原理三元组」列。</t>
    </r>
  </si>
  <si>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向下复制「重复校验」公式，并把公式内 </t>
    </r>
    <r>
      <rPr>
        <sz val="10"/>
        <rFont val="Arial"/>
        <family val="0"/>
        <charset val="1"/>
      </rPr>
      <t xml:space="preserve">$M$2:$M$101 </t>
    </r>
    <r>
      <rPr>
        <sz val="10"/>
        <rFont val="Noto Sans CJK SC"/>
        <family val="2"/>
      </rPr>
      <t xml:space="preserve">范围扩展到新行。</t>
    </r>
  </si>
  <si>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若显示「⚠ 重复」，更换至少一个核心原理或改换载体场景。</t>
    </r>
  </si>
  <si>
    <r>
      <rPr>
        <sz val="10"/>
        <rFont val="Noto Sans CJK SC"/>
        <family val="2"/>
      </rPr>
      <t xml:space="preserve">非重复可行性：约 </t>
    </r>
    <r>
      <rPr>
        <sz val="10"/>
        <rFont val="Arial"/>
        <family val="0"/>
        <charset val="1"/>
      </rPr>
      <t xml:space="preserve">24–36 </t>
    </r>
    <r>
      <rPr>
        <sz val="10"/>
        <rFont val="Noto Sans CJK SC"/>
        <family val="2"/>
      </rPr>
      <t xml:space="preserve">个知识域，三原理组合 </t>
    </r>
    <r>
      <rPr>
        <sz val="10"/>
        <rFont val="Arial"/>
        <family val="0"/>
        <charset val="1"/>
      </rPr>
      <t xml:space="preserve">C(24,3)=2024 </t>
    </r>
    <r>
      <rPr>
        <sz val="10"/>
        <rFont val="Noto Sans CJK SC"/>
        <family val="2"/>
      </rPr>
      <t xml:space="preserve">种；保留约</t>
    </r>
    <r>
      <rPr>
        <sz val="10"/>
        <rFont val="Arial"/>
        <family val="0"/>
        <charset val="1"/>
      </rPr>
      <t xml:space="preserve">15%</t>
    </r>
    <r>
      <rPr>
        <sz val="10"/>
        <rFont val="Noto Sans CJK SC"/>
        <family val="2"/>
      </rPr>
      <t xml:space="preserve">仍 </t>
    </r>
    <r>
      <rPr>
        <sz val="10"/>
        <rFont val="Arial"/>
        <family val="0"/>
        <charset val="1"/>
      </rPr>
      <t xml:space="preserve">&gt; 200 </t>
    </r>
    <r>
      <rPr>
        <sz val="10"/>
        <rFont val="Noto Sans CJK SC"/>
        <family val="2"/>
      </rPr>
      <t xml:space="preserve">篇所需。</t>
    </r>
  </si>
  <si>
    <r>
      <rPr>
        <sz val="10"/>
        <rFont val="Noto Sans CJK SC"/>
        <family val="2"/>
      </rPr>
      <t xml:space="preserve">基线：项目正典 </t>
    </r>
    <r>
      <rPr>
        <sz val="10"/>
        <rFont val="Arial"/>
        <family val="0"/>
        <charset val="1"/>
      </rPr>
      <t xml:space="preserve">V1.0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2026-06-04</t>
    </r>
    <r>
      <rPr>
        <sz val="10"/>
        <rFont val="Noto Sans CJK SC"/>
        <family val="2"/>
      </rPr>
      <t xml:space="preserve">）。废弃角色「阿文」已剔除，职能并入葛西全藏与陸珣。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</si>
</sst>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sz val="9"/>
      <color rgb="FF333333"/>
      <name val="Noto Sans CJK SC"/>
      <family val="2"/>
    </font>
    <font>
      <sz val="9"/>
      <color rgb="FF333333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b val="true"/>
      <sz val="12"/>
      <name val="Noto Sans CJK SC"/>
      <family val="2"/>
    </font>
    <font>
      <b val="true"/>
      <sz val="1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3333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5" min="4" style="0" width="11"/>
    <col collapsed="false" customWidth="true" hidden="false" outlineLevel="0" max="6" min="6" style="0" width="18"/>
    <col collapsed="false" customWidth="true" hidden="false" outlineLevel="0" max="7" min="7" style="0" width="11"/>
    <col collapsed="false" customWidth="true" hidden="false" outlineLevel="0" max="8" min="8" style="0" width="16"/>
    <col collapsed="false" customWidth="true" hidden="false" outlineLevel="0" max="9" min="9" style="0" width="26"/>
    <col collapsed="false" customWidth="true" hidden="false" outlineLevel="0" max="12" min="10" style="0" width="11"/>
    <col collapsed="false" customWidth="true" hidden="false" outlineLevel="0" max="13" min="13" style="0" width="32"/>
    <col collapsed="false" customWidth="true" hidden="false" outlineLevel="0" max="14" min="14" style="0" width="12"/>
    <col collapsed="false" customWidth="true" hidden="false" outlineLevel="0" max="15" min="15" style="0" width="18"/>
    <col collapsed="false" customWidth="true" hidden="false" outlineLevel="0" max="16" min="16" style="0" width="11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2" t="n">
        <v>1</v>
      </c>
      <c r="B2" s="3" t="s">
        <v>16</v>
      </c>
      <c r="C2" s="3" t="s">
        <v>17</v>
      </c>
      <c r="D2" s="2" t="s">
        <v>18</v>
      </c>
      <c r="E2" s="4" t="s">
        <v>19</v>
      </c>
      <c r="F2" s="3" t="s">
        <v>20</v>
      </c>
      <c r="G2" s="2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5" t="s">
        <v>27</v>
      </c>
      <c r="N2" s="4" t="s">
        <v>28</v>
      </c>
      <c r="O2" s="3" t="s">
        <v>29</v>
      </c>
      <c r="P2" s="2" t="str">
        <f aca="false">IF(COUNTIF($M$2:$M$101,M2)&gt;1,"⚠ 重复","唯一")</f>
        <v>唯一</v>
      </c>
    </row>
    <row r="3" customFormat="false" ht="15" hidden="false" customHeight="false" outlineLevel="0" collapsed="false">
      <c r="A3" s="6" t="n">
        <v>2</v>
      </c>
      <c r="B3" s="7" t="s">
        <v>30</v>
      </c>
      <c r="C3" s="7" t="s">
        <v>31</v>
      </c>
      <c r="D3" s="6" t="s">
        <v>18</v>
      </c>
      <c r="E3" s="8" t="s">
        <v>19</v>
      </c>
      <c r="F3" s="7" t="s">
        <v>20</v>
      </c>
      <c r="G3" s="6" t="s">
        <v>32</v>
      </c>
      <c r="H3" s="7" t="s">
        <v>33</v>
      </c>
      <c r="I3" s="7" t="s">
        <v>23</v>
      </c>
      <c r="J3" s="7" t="s">
        <v>34</v>
      </c>
      <c r="K3" s="7" t="s">
        <v>35</v>
      </c>
      <c r="L3" s="7" t="s">
        <v>36</v>
      </c>
      <c r="M3" s="9" t="s">
        <v>37</v>
      </c>
      <c r="N3" s="8" t="s">
        <v>38</v>
      </c>
      <c r="O3" s="7"/>
      <c r="P3" s="6" t="str">
        <f aca="false">IF(COUNTIF($M$2:$M$101,M3)&gt;1,"⚠ 重复","唯一")</f>
        <v>唯一</v>
      </c>
    </row>
    <row r="4" customFormat="false" ht="15" hidden="false" customHeight="false" outlineLevel="0" collapsed="false">
      <c r="A4" s="6" t="n">
        <v>3</v>
      </c>
      <c r="B4" s="7" t="s">
        <v>39</v>
      </c>
      <c r="C4" s="7" t="s">
        <v>40</v>
      </c>
      <c r="D4" s="6" t="s">
        <v>18</v>
      </c>
      <c r="E4" s="8" t="s">
        <v>19</v>
      </c>
      <c r="F4" s="7" t="s">
        <v>41</v>
      </c>
      <c r="G4" s="6" t="s">
        <v>42</v>
      </c>
      <c r="H4" s="7" t="s">
        <v>43</v>
      </c>
      <c r="I4" s="7" t="s">
        <v>23</v>
      </c>
      <c r="J4" s="7" t="s">
        <v>44</v>
      </c>
      <c r="K4" s="7" t="s">
        <v>45</v>
      </c>
      <c r="L4" s="7" t="s">
        <v>26</v>
      </c>
      <c r="M4" s="9" t="s">
        <v>46</v>
      </c>
      <c r="N4" s="8" t="s">
        <v>47</v>
      </c>
      <c r="O4" s="7"/>
      <c r="P4" s="6" t="str">
        <f aca="false">IF(COUNTIF($M$2:$M$101,M4)&gt;1,"⚠ 重复","唯一")</f>
        <v>唯一</v>
      </c>
    </row>
    <row r="5" customFormat="false" ht="15" hidden="false" customHeight="false" outlineLevel="0" collapsed="false">
      <c r="A5" s="6" t="n">
        <v>4</v>
      </c>
      <c r="B5" s="7" t="s">
        <v>48</v>
      </c>
      <c r="C5" s="7" t="s">
        <v>49</v>
      </c>
      <c r="D5" s="6" t="s">
        <v>18</v>
      </c>
      <c r="E5" s="8" t="s">
        <v>19</v>
      </c>
      <c r="F5" s="7" t="s">
        <v>20</v>
      </c>
      <c r="G5" s="6" t="s">
        <v>50</v>
      </c>
      <c r="H5" s="7" t="s">
        <v>43</v>
      </c>
      <c r="I5" s="7" t="s">
        <v>23</v>
      </c>
      <c r="J5" s="7" t="s">
        <v>51</v>
      </c>
      <c r="K5" s="7" t="s">
        <v>52</v>
      </c>
      <c r="L5" s="7" t="s">
        <v>35</v>
      </c>
      <c r="M5" s="9" t="s">
        <v>53</v>
      </c>
      <c r="N5" s="8" t="s">
        <v>54</v>
      </c>
      <c r="O5" s="7"/>
      <c r="P5" s="6" t="str">
        <f aca="false">IF(COUNTIF($M$2:$M$101,M5)&gt;1,"⚠ 重复","唯一")</f>
        <v>唯一</v>
      </c>
    </row>
    <row r="6" customFormat="false" ht="15" hidden="false" customHeight="false" outlineLevel="0" collapsed="false">
      <c r="A6" s="6" t="n">
        <v>5</v>
      </c>
      <c r="B6" s="7" t="s">
        <v>55</v>
      </c>
      <c r="C6" s="7" t="s">
        <v>56</v>
      </c>
      <c r="D6" s="6" t="s">
        <v>18</v>
      </c>
      <c r="E6" s="8" t="s">
        <v>19</v>
      </c>
      <c r="F6" s="7" t="s">
        <v>41</v>
      </c>
      <c r="G6" s="6" t="s">
        <v>57</v>
      </c>
      <c r="H6" s="7" t="s">
        <v>58</v>
      </c>
      <c r="I6" s="7" t="s">
        <v>23</v>
      </c>
      <c r="J6" s="7" t="s">
        <v>59</v>
      </c>
      <c r="K6" s="7" t="s">
        <v>60</v>
      </c>
      <c r="L6" s="7" t="s">
        <v>61</v>
      </c>
      <c r="M6" s="9" t="s">
        <v>62</v>
      </c>
      <c r="N6" s="8" t="s">
        <v>63</v>
      </c>
      <c r="O6" s="7"/>
      <c r="P6" s="6" t="str">
        <f aca="false">IF(COUNTIF($M$2:$M$101,M6)&gt;1,"⚠ 重复","唯一")</f>
        <v>唯一</v>
      </c>
    </row>
    <row r="7" customFormat="false" ht="15" hidden="false" customHeight="false" outlineLevel="0" collapsed="false">
      <c r="A7" s="6" t="n">
        <v>6</v>
      </c>
      <c r="B7" s="7" t="s">
        <v>64</v>
      </c>
      <c r="C7" s="7" t="s">
        <v>65</v>
      </c>
      <c r="D7" s="6" t="s">
        <v>18</v>
      </c>
      <c r="E7" s="8" t="s">
        <v>19</v>
      </c>
      <c r="F7" s="7" t="s">
        <v>20</v>
      </c>
      <c r="G7" s="6" t="s">
        <v>66</v>
      </c>
      <c r="H7" s="7" t="s">
        <v>33</v>
      </c>
      <c r="I7" s="7" t="s">
        <v>23</v>
      </c>
      <c r="J7" s="7" t="s">
        <v>24</v>
      </c>
      <c r="K7" s="7" t="s">
        <v>67</v>
      </c>
      <c r="L7" s="7" t="s">
        <v>68</v>
      </c>
      <c r="M7" s="9" t="s">
        <v>69</v>
      </c>
      <c r="N7" s="8" t="s">
        <v>38</v>
      </c>
      <c r="O7" s="7"/>
      <c r="P7" s="6" t="str">
        <f aca="false">IF(COUNTIF($M$2:$M$101,M7)&gt;1,"⚠ 重复","唯一")</f>
        <v>唯一</v>
      </c>
    </row>
    <row r="8" customFormat="false" ht="15" hidden="false" customHeight="false" outlineLevel="0" collapsed="false">
      <c r="A8" s="6" t="n">
        <v>7</v>
      </c>
      <c r="B8" s="7" t="s">
        <v>70</v>
      </c>
      <c r="C8" s="7" t="s">
        <v>71</v>
      </c>
      <c r="D8" s="6" t="s">
        <v>18</v>
      </c>
      <c r="E8" s="8" t="s">
        <v>19</v>
      </c>
      <c r="F8" s="7" t="s">
        <v>72</v>
      </c>
      <c r="G8" s="6" t="s">
        <v>73</v>
      </c>
      <c r="H8" s="7" t="s">
        <v>43</v>
      </c>
      <c r="I8" s="7" t="s">
        <v>23</v>
      </c>
      <c r="J8" s="7" t="s">
        <v>74</v>
      </c>
      <c r="K8" s="7" t="s">
        <v>75</v>
      </c>
      <c r="L8" s="7" t="s">
        <v>45</v>
      </c>
      <c r="M8" s="9" t="s">
        <v>76</v>
      </c>
      <c r="N8" s="8" t="s">
        <v>54</v>
      </c>
      <c r="O8" s="7"/>
      <c r="P8" s="6" t="str">
        <f aca="false">IF(COUNTIF($M$2:$M$101,M8)&gt;1,"⚠ 重复","唯一")</f>
        <v>唯一</v>
      </c>
    </row>
    <row r="9" customFormat="false" ht="15" hidden="false" customHeight="false" outlineLevel="0" collapsed="false">
      <c r="A9" s="6" t="n">
        <v>8</v>
      </c>
      <c r="B9" s="7" t="s">
        <v>77</v>
      </c>
      <c r="C9" s="7" t="s">
        <v>78</v>
      </c>
      <c r="D9" s="6" t="s">
        <v>18</v>
      </c>
      <c r="E9" s="8" t="s">
        <v>19</v>
      </c>
      <c r="F9" s="7" t="s">
        <v>20</v>
      </c>
      <c r="G9" s="6" t="s">
        <v>79</v>
      </c>
      <c r="H9" s="7" t="s">
        <v>58</v>
      </c>
      <c r="I9" s="7" t="s">
        <v>23</v>
      </c>
      <c r="J9" s="7" t="s">
        <v>80</v>
      </c>
      <c r="K9" s="7" t="s">
        <v>24</v>
      </c>
      <c r="L9" s="7" t="s">
        <v>61</v>
      </c>
      <c r="M9" s="9" t="s">
        <v>81</v>
      </c>
      <c r="N9" s="8" t="s">
        <v>28</v>
      </c>
      <c r="O9" s="7"/>
      <c r="P9" s="6" t="str">
        <f aca="false">IF(COUNTIF($M$2:$M$101,M9)&gt;1,"⚠ 重复","唯一")</f>
        <v>唯一</v>
      </c>
    </row>
    <row r="10" customFormat="false" ht="15" hidden="false" customHeight="false" outlineLevel="0" collapsed="false">
      <c r="A10" s="6" t="n">
        <v>9</v>
      </c>
      <c r="B10" s="7" t="s">
        <v>82</v>
      </c>
      <c r="C10" s="7" t="s">
        <v>83</v>
      </c>
      <c r="D10" s="6" t="s">
        <v>18</v>
      </c>
      <c r="E10" s="8" t="s">
        <v>19</v>
      </c>
      <c r="F10" s="7" t="s">
        <v>84</v>
      </c>
      <c r="G10" s="6" t="s">
        <v>85</v>
      </c>
      <c r="H10" s="7" t="s">
        <v>33</v>
      </c>
      <c r="I10" s="7" t="s">
        <v>23</v>
      </c>
      <c r="J10" s="7" t="s">
        <v>86</v>
      </c>
      <c r="K10" s="7" t="s">
        <v>35</v>
      </c>
      <c r="L10" s="7" t="s">
        <v>26</v>
      </c>
      <c r="M10" s="9" t="s">
        <v>87</v>
      </c>
      <c r="N10" s="8" t="s">
        <v>88</v>
      </c>
      <c r="O10" s="7"/>
      <c r="P10" s="6" t="str">
        <f aca="false">IF(COUNTIF($M$2:$M$101,M10)&gt;1,"⚠ 重复","唯一")</f>
        <v>唯一</v>
      </c>
    </row>
    <row r="11" customFormat="false" ht="15" hidden="false" customHeight="false" outlineLevel="0" collapsed="false">
      <c r="A11" s="6" t="n">
        <v>10</v>
      </c>
      <c r="B11" s="7" t="s">
        <v>89</v>
      </c>
      <c r="C11" s="7" t="s">
        <v>90</v>
      </c>
      <c r="D11" s="6" t="s">
        <v>18</v>
      </c>
      <c r="E11" s="8" t="s">
        <v>19</v>
      </c>
      <c r="F11" s="7" t="s">
        <v>20</v>
      </c>
      <c r="G11" s="6" t="s">
        <v>91</v>
      </c>
      <c r="H11" s="7" t="s">
        <v>92</v>
      </c>
      <c r="I11" s="7" t="s">
        <v>23</v>
      </c>
      <c r="J11" s="7" t="s">
        <v>45</v>
      </c>
      <c r="K11" s="7" t="s">
        <v>35</v>
      </c>
      <c r="L11" s="7" t="s">
        <v>93</v>
      </c>
      <c r="M11" s="9" t="s">
        <v>94</v>
      </c>
      <c r="N11" s="8" t="s">
        <v>88</v>
      </c>
      <c r="O11" s="7"/>
      <c r="P11" s="6" t="str">
        <f aca="false">IF(COUNTIF($M$2:$M$101,M11)&gt;1,"⚠ 重复","唯一")</f>
        <v>唯一</v>
      </c>
    </row>
    <row r="12" customFormat="false" ht="15" hidden="false" customHeight="false" outlineLevel="0" collapsed="false">
      <c r="A12" s="6" t="n">
        <v>11</v>
      </c>
      <c r="B12" s="7" t="s">
        <v>95</v>
      </c>
      <c r="C12" s="7" t="s">
        <v>96</v>
      </c>
      <c r="D12" s="6" t="s">
        <v>18</v>
      </c>
      <c r="E12" s="8" t="s">
        <v>19</v>
      </c>
      <c r="F12" s="7" t="s">
        <v>20</v>
      </c>
      <c r="G12" s="6" t="s">
        <v>85</v>
      </c>
      <c r="H12" s="7" t="s">
        <v>43</v>
      </c>
      <c r="I12" s="7" t="s">
        <v>23</v>
      </c>
      <c r="J12" s="7" t="s">
        <v>51</v>
      </c>
      <c r="K12" s="7" t="s">
        <v>97</v>
      </c>
      <c r="L12" s="7" t="s">
        <v>98</v>
      </c>
      <c r="M12" s="9" t="s">
        <v>99</v>
      </c>
      <c r="N12" s="8" t="s">
        <v>54</v>
      </c>
      <c r="O12" s="7"/>
      <c r="P12" s="6" t="str">
        <f aca="false">IF(COUNTIF($M$2:$M$101,M12)&gt;1,"⚠ 重复","唯一")</f>
        <v>唯一</v>
      </c>
    </row>
    <row r="13" customFormat="false" ht="15" hidden="false" customHeight="false" outlineLevel="0" collapsed="false">
      <c r="A13" s="6" t="n">
        <v>12</v>
      </c>
      <c r="B13" s="7" t="s">
        <v>100</v>
      </c>
      <c r="C13" s="7" t="s">
        <v>101</v>
      </c>
      <c r="D13" s="6" t="s">
        <v>18</v>
      </c>
      <c r="E13" s="8" t="s">
        <v>19</v>
      </c>
      <c r="F13" s="7" t="s">
        <v>102</v>
      </c>
      <c r="G13" s="6" t="s">
        <v>103</v>
      </c>
      <c r="H13" s="7" t="s">
        <v>104</v>
      </c>
      <c r="I13" s="7" t="s">
        <v>23</v>
      </c>
      <c r="J13" s="7" t="s">
        <v>34</v>
      </c>
      <c r="K13" s="7" t="s">
        <v>24</v>
      </c>
      <c r="L13" s="7" t="s">
        <v>35</v>
      </c>
      <c r="M13" s="9" t="s">
        <v>105</v>
      </c>
      <c r="N13" s="8" t="s">
        <v>88</v>
      </c>
      <c r="O13" s="7"/>
      <c r="P13" s="6" t="str">
        <f aca="false">IF(COUNTIF($M$2:$M$101,M13)&gt;1,"⚠ 重复","唯一")</f>
        <v>唯一</v>
      </c>
    </row>
    <row r="14" customFormat="false" ht="29.85" hidden="false" customHeight="false" outlineLevel="0" collapsed="false">
      <c r="A14" s="2" t="n">
        <v>13</v>
      </c>
      <c r="B14" s="3" t="s">
        <v>106</v>
      </c>
      <c r="C14" s="3" t="s">
        <v>107</v>
      </c>
      <c r="D14" s="2" t="s">
        <v>18</v>
      </c>
      <c r="E14" s="4" t="s">
        <v>19</v>
      </c>
      <c r="F14" s="3" t="s">
        <v>108</v>
      </c>
      <c r="G14" s="2" t="s">
        <v>109</v>
      </c>
      <c r="H14" s="3" t="s">
        <v>110</v>
      </c>
      <c r="I14" s="3" t="s">
        <v>111</v>
      </c>
      <c r="J14" s="3" t="s">
        <v>60</v>
      </c>
      <c r="K14" s="3" t="s">
        <v>112</v>
      </c>
      <c r="L14" s="3" t="s">
        <v>93</v>
      </c>
      <c r="M14" s="5" t="s">
        <v>113</v>
      </c>
      <c r="N14" s="4" t="s">
        <v>114</v>
      </c>
      <c r="O14" s="3" t="s">
        <v>115</v>
      </c>
      <c r="P14" s="2" t="str">
        <f aca="false">IF(COUNTIF($M$2:$M$101,M14)&gt;1,"⚠ 重复","唯一")</f>
        <v>唯一</v>
      </c>
    </row>
    <row r="15" customFormat="false" ht="15" hidden="false" customHeight="false" outlineLevel="0" collapsed="false">
      <c r="A15" s="6" t="n">
        <v>14</v>
      </c>
      <c r="B15" s="7" t="s">
        <v>116</v>
      </c>
      <c r="C15" s="7" t="s">
        <v>117</v>
      </c>
      <c r="D15" s="6" t="s">
        <v>18</v>
      </c>
      <c r="E15" s="8" t="s">
        <v>118</v>
      </c>
      <c r="F15" s="7" t="s">
        <v>119</v>
      </c>
      <c r="G15" s="6" t="s">
        <v>21</v>
      </c>
      <c r="H15" s="7" t="s">
        <v>120</v>
      </c>
      <c r="I15" s="7" t="s">
        <v>23</v>
      </c>
      <c r="J15" s="7" t="s">
        <v>93</v>
      </c>
      <c r="K15" s="7" t="s">
        <v>97</v>
      </c>
      <c r="L15" s="7" t="s">
        <v>121</v>
      </c>
      <c r="M15" s="9" t="s">
        <v>122</v>
      </c>
      <c r="N15" s="8" t="s">
        <v>123</v>
      </c>
      <c r="O15" s="7"/>
      <c r="P15" s="6" t="str">
        <f aca="false">IF(COUNTIF($M$2:$M$101,M15)&gt;1,"⚠ 重复","唯一")</f>
        <v>唯一</v>
      </c>
    </row>
    <row r="16" customFormat="false" ht="15" hidden="false" customHeight="false" outlineLevel="0" collapsed="false">
      <c r="A16" s="6" t="n">
        <v>15</v>
      </c>
      <c r="B16" s="7" t="s">
        <v>124</v>
      </c>
      <c r="C16" s="7" t="s">
        <v>125</v>
      </c>
      <c r="D16" s="6" t="s">
        <v>18</v>
      </c>
      <c r="E16" s="8" t="s">
        <v>19</v>
      </c>
      <c r="F16" s="7" t="s">
        <v>20</v>
      </c>
      <c r="G16" s="6" t="s">
        <v>32</v>
      </c>
      <c r="H16" s="7" t="s">
        <v>92</v>
      </c>
      <c r="I16" s="7" t="s">
        <v>23</v>
      </c>
      <c r="J16" s="7" t="s">
        <v>126</v>
      </c>
      <c r="K16" s="7" t="s">
        <v>74</v>
      </c>
      <c r="L16" s="7" t="s">
        <v>26</v>
      </c>
      <c r="M16" s="9" t="s">
        <v>127</v>
      </c>
      <c r="N16" s="8" t="s">
        <v>88</v>
      </c>
      <c r="O16" s="7"/>
      <c r="P16" s="6" t="str">
        <f aca="false">IF(COUNTIF($M$2:$M$101,M16)&gt;1,"⚠ 重复","唯一")</f>
        <v>唯一</v>
      </c>
    </row>
    <row r="17" customFormat="false" ht="15" hidden="false" customHeight="false" outlineLevel="0" collapsed="false">
      <c r="A17" s="6" t="n">
        <v>16</v>
      </c>
      <c r="B17" s="7" t="s">
        <v>128</v>
      </c>
      <c r="C17" s="7" t="s">
        <v>129</v>
      </c>
      <c r="D17" s="6" t="s">
        <v>18</v>
      </c>
      <c r="E17" s="8" t="s">
        <v>19</v>
      </c>
      <c r="F17" s="7" t="s">
        <v>130</v>
      </c>
      <c r="G17" s="6" t="s">
        <v>131</v>
      </c>
      <c r="H17" s="7" t="s">
        <v>43</v>
      </c>
      <c r="I17" s="7" t="s">
        <v>23</v>
      </c>
      <c r="J17" s="7" t="s">
        <v>93</v>
      </c>
      <c r="K17" s="7" t="s">
        <v>132</v>
      </c>
      <c r="L17" s="7" t="s">
        <v>121</v>
      </c>
      <c r="M17" s="9" t="s">
        <v>133</v>
      </c>
      <c r="N17" s="8" t="s">
        <v>121</v>
      </c>
      <c r="O17" s="7"/>
      <c r="P17" s="6" t="str">
        <f aca="false">IF(COUNTIF($M$2:$M$101,M17)&gt;1,"⚠ 重复","唯一")</f>
        <v>唯一</v>
      </c>
    </row>
    <row r="18" customFormat="false" ht="15" hidden="false" customHeight="false" outlineLevel="0" collapsed="false">
      <c r="A18" s="6" t="n">
        <v>17</v>
      </c>
      <c r="B18" s="7" t="s">
        <v>134</v>
      </c>
      <c r="C18" s="7" t="s">
        <v>135</v>
      </c>
      <c r="D18" s="6" t="s">
        <v>18</v>
      </c>
      <c r="E18" s="8" t="s">
        <v>19</v>
      </c>
      <c r="F18" s="7" t="s">
        <v>72</v>
      </c>
      <c r="G18" s="6" t="s">
        <v>50</v>
      </c>
      <c r="H18" s="7" t="s">
        <v>43</v>
      </c>
      <c r="I18" s="7" t="s">
        <v>23</v>
      </c>
      <c r="J18" s="7" t="s">
        <v>75</v>
      </c>
      <c r="K18" s="7" t="s">
        <v>93</v>
      </c>
      <c r="L18" s="7" t="s">
        <v>44</v>
      </c>
      <c r="M18" s="9" t="s">
        <v>136</v>
      </c>
      <c r="N18" s="8" t="s">
        <v>54</v>
      </c>
      <c r="O18" s="7"/>
      <c r="P18" s="6" t="str">
        <f aca="false">IF(COUNTIF($M$2:$M$101,M18)&gt;1,"⚠ 重复","唯一")</f>
        <v>唯一</v>
      </c>
    </row>
    <row r="19" customFormat="false" ht="15" hidden="false" customHeight="false" outlineLevel="0" collapsed="false">
      <c r="A19" s="6" t="n">
        <v>18</v>
      </c>
      <c r="B19" s="7" t="s">
        <v>137</v>
      </c>
      <c r="C19" s="7" t="s">
        <v>138</v>
      </c>
      <c r="D19" s="6" t="s">
        <v>18</v>
      </c>
      <c r="E19" s="8" t="s">
        <v>118</v>
      </c>
      <c r="F19" s="7" t="s">
        <v>139</v>
      </c>
      <c r="G19" s="6" t="s">
        <v>140</v>
      </c>
      <c r="H19" s="7" t="s">
        <v>43</v>
      </c>
      <c r="I19" s="7" t="s">
        <v>23</v>
      </c>
      <c r="J19" s="7" t="s">
        <v>141</v>
      </c>
      <c r="K19" s="7" t="s">
        <v>51</v>
      </c>
      <c r="L19" s="7" t="s">
        <v>142</v>
      </c>
      <c r="M19" s="9" t="s">
        <v>143</v>
      </c>
      <c r="N19" s="8" t="s">
        <v>54</v>
      </c>
      <c r="O19" s="7"/>
      <c r="P19" s="6" t="str">
        <f aca="false">IF(COUNTIF($M$2:$M$101,M19)&gt;1,"⚠ 重复","唯一")</f>
        <v>唯一</v>
      </c>
    </row>
    <row r="20" customFormat="false" ht="15" hidden="false" customHeight="false" outlineLevel="0" collapsed="false">
      <c r="A20" s="6" t="n">
        <v>19</v>
      </c>
      <c r="B20" s="7" t="s">
        <v>144</v>
      </c>
      <c r="C20" s="7" t="s">
        <v>145</v>
      </c>
      <c r="D20" s="6" t="s">
        <v>18</v>
      </c>
      <c r="E20" s="8" t="s">
        <v>118</v>
      </c>
      <c r="F20" s="7" t="s">
        <v>119</v>
      </c>
      <c r="G20" s="6" t="s">
        <v>146</v>
      </c>
      <c r="H20" s="7" t="s">
        <v>33</v>
      </c>
      <c r="I20" s="7" t="s">
        <v>23</v>
      </c>
      <c r="J20" s="7" t="s">
        <v>35</v>
      </c>
      <c r="K20" s="7" t="s">
        <v>97</v>
      </c>
      <c r="L20" s="7" t="s">
        <v>45</v>
      </c>
      <c r="M20" s="9" t="s">
        <v>147</v>
      </c>
      <c r="N20" s="8" t="s">
        <v>148</v>
      </c>
      <c r="O20" s="7"/>
      <c r="P20" s="6" t="str">
        <f aca="false">IF(COUNTIF($M$2:$M$101,M20)&gt;1,"⚠ 重复","唯一")</f>
        <v>唯一</v>
      </c>
    </row>
    <row r="21" customFormat="false" ht="15" hidden="false" customHeight="false" outlineLevel="0" collapsed="false">
      <c r="A21" s="6" t="n">
        <v>20</v>
      </c>
      <c r="B21" s="7" t="s">
        <v>149</v>
      </c>
      <c r="C21" s="7" t="s">
        <v>150</v>
      </c>
      <c r="D21" s="6" t="s">
        <v>18</v>
      </c>
      <c r="E21" s="8" t="s">
        <v>19</v>
      </c>
      <c r="F21" s="7" t="s">
        <v>20</v>
      </c>
      <c r="G21" s="6" t="s">
        <v>73</v>
      </c>
      <c r="H21" s="7" t="s">
        <v>58</v>
      </c>
      <c r="I21" s="7" t="s">
        <v>23</v>
      </c>
      <c r="J21" s="7" t="s">
        <v>93</v>
      </c>
      <c r="K21" s="7" t="s">
        <v>26</v>
      </c>
      <c r="L21" s="7" t="s">
        <v>132</v>
      </c>
      <c r="M21" s="9" t="s">
        <v>151</v>
      </c>
      <c r="N21" s="8" t="s">
        <v>28</v>
      </c>
      <c r="O21" s="7"/>
      <c r="P21" s="6" t="str">
        <f aca="false">IF(COUNTIF($M$2:$M$101,M21)&gt;1,"⚠ 重复","唯一")</f>
        <v>唯一</v>
      </c>
    </row>
    <row r="22" customFormat="false" ht="29.85" hidden="false" customHeight="false" outlineLevel="0" collapsed="false">
      <c r="A22" s="6" t="n">
        <v>21</v>
      </c>
      <c r="B22" s="7" t="s">
        <v>152</v>
      </c>
      <c r="C22" s="7" t="s">
        <v>153</v>
      </c>
      <c r="D22" s="6" t="s">
        <v>18</v>
      </c>
      <c r="E22" s="8" t="s">
        <v>118</v>
      </c>
      <c r="F22" s="7" t="s">
        <v>154</v>
      </c>
      <c r="G22" s="6" t="s">
        <v>21</v>
      </c>
      <c r="H22" s="7" t="s">
        <v>155</v>
      </c>
      <c r="I22" s="7" t="s">
        <v>23</v>
      </c>
      <c r="J22" s="7" t="s">
        <v>98</v>
      </c>
      <c r="K22" s="7" t="s">
        <v>35</v>
      </c>
      <c r="L22" s="7" t="s">
        <v>112</v>
      </c>
      <c r="M22" s="9" t="s">
        <v>156</v>
      </c>
      <c r="N22" s="8" t="s">
        <v>157</v>
      </c>
      <c r="O22" s="7"/>
      <c r="P22" s="6" t="str">
        <f aca="false">IF(COUNTIF($M$2:$M$101,M22)&gt;1,"⚠ 重复","唯一")</f>
        <v>唯一</v>
      </c>
    </row>
    <row r="23" customFormat="false" ht="15" hidden="false" customHeight="false" outlineLevel="0" collapsed="false">
      <c r="A23" s="6" t="n">
        <v>22</v>
      </c>
      <c r="B23" s="7" t="s">
        <v>158</v>
      </c>
      <c r="C23" s="7" t="s">
        <v>159</v>
      </c>
      <c r="D23" s="6" t="s">
        <v>18</v>
      </c>
      <c r="E23" s="8" t="s">
        <v>118</v>
      </c>
      <c r="F23" s="7" t="s">
        <v>154</v>
      </c>
      <c r="G23" s="6" t="s">
        <v>32</v>
      </c>
      <c r="H23" s="7" t="s">
        <v>43</v>
      </c>
      <c r="I23" s="7" t="s">
        <v>23</v>
      </c>
      <c r="J23" s="7" t="s">
        <v>44</v>
      </c>
      <c r="K23" s="7" t="s">
        <v>26</v>
      </c>
      <c r="L23" s="7" t="s">
        <v>51</v>
      </c>
      <c r="M23" s="9" t="s">
        <v>160</v>
      </c>
      <c r="N23" s="8" t="s">
        <v>54</v>
      </c>
      <c r="O23" s="7"/>
      <c r="P23" s="6" t="str">
        <f aca="false">IF(COUNTIF($M$2:$M$101,M23)&gt;1,"⚠ 重复","唯一")</f>
        <v>唯一</v>
      </c>
    </row>
    <row r="24" customFormat="false" ht="15" hidden="false" customHeight="false" outlineLevel="0" collapsed="false">
      <c r="A24" s="6" t="n">
        <v>23</v>
      </c>
      <c r="B24" s="7" t="s">
        <v>161</v>
      </c>
      <c r="C24" s="7" t="s">
        <v>162</v>
      </c>
      <c r="D24" s="6" t="s">
        <v>18</v>
      </c>
      <c r="E24" s="8" t="s">
        <v>118</v>
      </c>
      <c r="F24" s="7" t="s">
        <v>163</v>
      </c>
      <c r="G24" s="6" t="s">
        <v>131</v>
      </c>
      <c r="H24" s="7" t="s">
        <v>155</v>
      </c>
      <c r="I24" s="7" t="s">
        <v>23</v>
      </c>
      <c r="J24" s="7" t="s">
        <v>34</v>
      </c>
      <c r="K24" s="7" t="s">
        <v>98</v>
      </c>
      <c r="L24" s="7" t="s">
        <v>68</v>
      </c>
      <c r="M24" s="9" t="s">
        <v>164</v>
      </c>
      <c r="N24" s="8" t="s">
        <v>38</v>
      </c>
      <c r="O24" s="7"/>
      <c r="P24" s="6" t="str">
        <f aca="false">IF(COUNTIF($M$2:$M$101,M24)&gt;1,"⚠ 重复","唯一")</f>
        <v>唯一</v>
      </c>
    </row>
    <row r="25" customFormat="false" ht="15" hidden="false" customHeight="false" outlineLevel="0" collapsed="false">
      <c r="A25" s="6" t="n">
        <v>24</v>
      </c>
      <c r="B25" s="7" t="s">
        <v>165</v>
      </c>
      <c r="C25" s="7" t="s">
        <v>166</v>
      </c>
      <c r="D25" s="6" t="s">
        <v>18</v>
      </c>
      <c r="E25" s="8" t="s">
        <v>118</v>
      </c>
      <c r="F25" s="7" t="s">
        <v>167</v>
      </c>
      <c r="G25" s="6" t="s">
        <v>50</v>
      </c>
      <c r="H25" s="7" t="s">
        <v>58</v>
      </c>
      <c r="I25" s="7" t="s">
        <v>23</v>
      </c>
      <c r="J25" s="7" t="s">
        <v>86</v>
      </c>
      <c r="K25" s="7" t="s">
        <v>68</v>
      </c>
      <c r="L25" s="7" t="s">
        <v>34</v>
      </c>
      <c r="M25" s="9" t="s">
        <v>168</v>
      </c>
      <c r="N25" s="8" t="s">
        <v>88</v>
      </c>
      <c r="O25" s="7"/>
      <c r="P25" s="6" t="str">
        <f aca="false">IF(COUNTIF($M$2:$M$101,M25)&gt;1,"⚠ 重复","唯一")</f>
        <v>唯一</v>
      </c>
    </row>
    <row r="26" customFormat="false" ht="15" hidden="false" customHeight="false" outlineLevel="0" collapsed="false">
      <c r="A26" s="6" t="n">
        <v>25</v>
      </c>
      <c r="B26" s="7" t="s">
        <v>169</v>
      </c>
      <c r="C26" s="7" t="s">
        <v>170</v>
      </c>
      <c r="D26" s="6" t="s">
        <v>18</v>
      </c>
      <c r="E26" s="8" t="s">
        <v>118</v>
      </c>
      <c r="F26" s="7" t="s">
        <v>171</v>
      </c>
      <c r="G26" s="6" t="s">
        <v>66</v>
      </c>
      <c r="H26" s="7" t="s">
        <v>43</v>
      </c>
      <c r="I26" s="7" t="s">
        <v>23</v>
      </c>
      <c r="J26" s="7" t="s">
        <v>141</v>
      </c>
      <c r="K26" s="7" t="s">
        <v>51</v>
      </c>
      <c r="L26" s="7" t="s">
        <v>36</v>
      </c>
      <c r="M26" s="9" t="s">
        <v>172</v>
      </c>
      <c r="N26" s="8" t="s">
        <v>54</v>
      </c>
      <c r="O26" s="7"/>
      <c r="P26" s="6" t="str">
        <f aca="false">IF(COUNTIF($M$2:$M$101,M26)&gt;1,"⚠ 重复","唯一")</f>
        <v>唯一</v>
      </c>
    </row>
    <row r="27" customFormat="false" ht="15" hidden="false" customHeight="false" outlineLevel="0" collapsed="false">
      <c r="A27" s="6" t="n">
        <v>26</v>
      </c>
      <c r="B27" s="7" t="s">
        <v>173</v>
      </c>
      <c r="C27" s="7" t="s">
        <v>174</v>
      </c>
      <c r="D27" s="6" t="s">
        <v>18</v>
      </c>
      <c r="E27" s="8" t="s">
        <v>118</v>
      </c>
      <c r="F27" s="7" t="s">
        <v>175</v>
      </c>
      <c r="G27" s="6" t="s">
        <v>140</v>
      </c>
      <c r="H27" s="7" t="s">
        <v>58</v>
      </c>
      <c r="I27" s="7" t="s">
        <v>23</v>
      </c>
      <c r="J27" s="7" t="s">
        <v>59</v>
      </c>
      <c r="K27" s="7" t="s">
        <v>60</v>
      </c>
      <c r="L27" s="7" t="s">
        <v>61</v>
      </c>
      <c r="M27" s="9" t="s">
        <v>176</v>
      </c>
      <c r="N27" s="8" t="s">
        <v>88</v>
      </c>
      <c r="O27" s="7"/>
      <c r="P27" s="6" t="str">
        <f aca="false">IF(COUNTIF($M$2:$M$101,M27)&gt;1,"⚠ 重复","唯一")</f>
        <v>唯一</v>
      </c>
    </row>
    <row r="28" customFormat="false" ht="15" hidden="false" customHeight="false" outlineLevel="0" collapsed="false">
      <c r="A28" s="2" t="n">
        <v>27</v>
      </c>
      <c r="B28" s="3" t="s">
        <v>177</v>
      </c>
      <c r="C28" s="3" t="s">
        <v>178</v>
      </c>
      <c r="D28" s="2" t="s">
        <v>18</v>
      </c>
      <c r="E28" s="4" t="s">
        <v>118</v>
      </c>
      <c r="F28" s="3" t="s">
        <v>179</v>
      </c>
      <c r="G28" s="2" t="s">
        <v>180</v>
      </c>
      <c r="H28" s="3" t="s">
        <v>43</v>
      </c>
      <c r="I28" s="3" t="s">
        <v>23</v>
      </c>
      <c r="J28" s="3" t="s">
        <v>181</v>
      </c>
      <c r="K28" s="3" t="s">
        <v>45</v>
      </c>
      <c r="L28" s="3" t="s">
        <v>93</v>
      </c>
      <c r="M28" s="5" t="s">
        <v>182</v>
      </c>
      <c r="N28" s="4" t="s">
        <v>54</v>
      </c>
      <c r="O28" s="3" t="s">
        <v>183</v>
      </c>
      <c r="P28" s="2" t="str">
        <f aca="false">IF(COUNTIF($M$2:$M$101,M28)&gt;1,"⚠ 重复","唯一")</f>
        <v>唯一</v>
      </c>
    </row>
    <row r="29" customFormat="false" ht="15" hidden="false" customHeight="false" outlineLevel="0" collapsed="false">
      <c r="A29" s="6" t="n">
        <v>28</v>
      </c>
      <c r="B29" s="7" t="s">
        <v>184</v>
      </c>
      <c r="C29" s="7" t="s">
        <v>185</v>
      </c>
      <c r="D29" s="6" t="s">
        <v>18</v>
      </c>
      <c r="E29" s="8" t="s">
        <v>118</v>
      </c>
      <c r="F29" s="7" t="s">
        <v>186</v>
      </c>
      <c r="G29" s="6" t="s">
        <v>73</v>
      </c>
      <c r="H29" s="7" t="s">
        <v>33</v>
      </c>
      <c r="I29" s="7" t="s">
        <v>23</v>
      </c>
      <c r="J29" s="7" t="s">
        <v>97</v>
      </c>
      <c r="K29" s="7" t="s">
        <v>68</v>
      </c>
      <c r="L29" s="7" t="s">
        <v>60</v>
      </c>
      <c r="M29" s="9" t="s">
        <v>187</v>
      </c>
      <c r="N29" s="8" t="s">
        <v>148</v>
      </c>
      <c r="O29" s="7"/>
      <c r="P29" s="6" t="str">
        <f aca="false">IF(COUNTIF($M$2:$M$101,M29)&gt;1,"⚠ 重复","唯一")</f>
        <v>唯一</v>
      </c>
    </row>
    <row r="30" customFormat="false" ht="15" hidden="false" customHeight="false" outlineLevel="0" collapsed="false">
      <c r="A30" s="6" t="n">
        <v>29</v>
      </c>
      <c r="B30" s="7" t="s">
        <v>188</v>
      </c>
      <c r="C30" s="7" t="s">
        <v>189</v>
      </c>
      <c r="D30" s="6" t="s">
        <v>18</v>
      </c>
      <c r="E30" s="8" t="s">
        <v>118</v>
      </c>
      <c r="F30" s="7" t="s">
        <v>190</v>
      </c>
      <c r="G30" s="6" t="s">
        <v>79</v>
      </c>
      <c r="H30" s="7" t="s">
        <v>92</v>
      </c>
      <c r="I30" s="7" t="s">
        <v>23</v>
      </c>
      <c r="J30" s="7" t="s">
        <v>126</v>
      </c>
      <c r="K30" s="7" t="s">
        <v>74</v>
      </c>
      <c r="L30" s="7" t="s">
        <v>24</v>
      </c>
      <c r="M30" s="9" t="s">
        <v>191</v>
      </c>
      <c r="N30" s="8" t="s">
        <v>88</v>
      </c>
      <c r="O30" s="7"/>
      <c r="P30" s="6" t="str">
        <f aca="false">IF(COUNTIF($M$2:$M$101,M30)&gt;1,"⚠ 重复","唯一")</f>
        <v>唯一</v>
      </c>
    </row>
    <row r="31" customFormat="false" ht="29.85" hidden="false" customHeight="false" outlineLevel="0" collapsed="false">
      <c r="A31" s="2" t="n">
        <v>30</v>
      </c>
      <c r="B31" s="3" t="s">
        <v>192</v>
      </c>
      <c r="C31" s="3" t="s">
        <v>193</v>
      </c>
      <c r="D31" s="2" t="s">
        <v>18</v>
      </c>
      <c r="E31" s="4" t="s">
        <v>118</v>
      </c>
      <c r="F31" s="3" t="s">
        <v>194</v>
      </c>
      <c r="G31" s="2" t="s">
        <v>195</v>
      </c>
      <c r="H31" s="3" t="s">
        <v>196</v>
      </c>
      <c r="I31" s="3" t="s">
        <v>111</v>
      </c>
      <c r="J31" s="3" t="s">
        <v>51</v>
      </c>
      <c r="K31" s="3" t="s">
        <v>35</v>
      </c>
      <c r="L31" s="3" t="s">
        <v>112</v>
      </c>
      <c r="M31" s="5" t="s">
        <v>197</v>
      </c>
      <c r="N31" s="4" t="s">
        <v>198</v>
      </c>
      <c r="O31" s="3" t="s">
        <v>199</v>
      </c>
      <c r="P31" s="2" t="str">
        <f aca="false">IF(COUNTIF($M$2:$M$101,M31)&gt;1,"⚠ 重复","唯一")</f>
        <v>唯一</v>
      </c>
    </row>
    <row r="32" customFormat="false" ht="15" hidden="false" customHeight="false" outlineLevel="0" collapsed="false">
      <c r="A32" s="6" t="n">
        <v>31</v>
      </c>
      <c r="B32" s="7" t="s">
        <v>200</v>
      </c>
      <c r="C32" s="7" t="s">
        <v>201</v>
      </c>
      <c r="D32" s="6" t="s">
        <v>18</v>
      </c>
      <c r="E32" s="8" t="s">
        <v>118</v>
      </c>
      <c r="F32" s="7" t="s">
        <v>202</v>
      </c>
      <c r="G32" s="6" t="s">
        <v>50</v>
      </c>
      <c r="H32" s="7" t="s">
        <v>58</v>
      </c>
      <c r="I32" s="7" t="s">
        <v>23</v>
      </c>
      <c r="J32" s="7" t="s">
        <v>24</v>
      </c>
      <c r="K32" s="7" t="s">
        <v>97</v>
      </c>
      <c r="L32" s="7" t="s">
        <v>93</v>
      </c>
      <c r="M32" s="9" t="s">
        <v>203</v>
      </c>
      <c r="N32" s="8" t="s">
        <v>88</v>
      </c>
      <c r="O32" s="7"/>
      <c r="P32" s="6" t="str">
        <f aca="false">IF(COUNTIF($M$2:$M$101,M32)&gt;1,"⚠ 重复","唯一")</f>
        <v>唯一</v>
      </c>
    </row>
    <row r="33" customFormat="false" ht="15" hidden="false" customHeight="false" outlineLevel="0" collapsed="false">
      <c r="A33" s="6" t="n">
        <v>32</v>
      </c>
      <c r="B33" s="7" t="s">
        <v>204</v>
      </c>
      <c r="C33" s="7" t="s">
        <v>205</v>
      </c>
      <c r="D33" s="6" t="s">
        <v>18</v>
      </c>
      <c r="E33" s="8" t="s">
        <v>118</v>
      </c>
      <c r="F33" s="7" t="s">
        <v>202</v>
      </c>
      <c r="G33" s="6" t="s">
        <v>66</v>
      </c>
      <c r="H33" s="7" t="s">
        <v>43</v>
      </c>
      <c r="I33" s="7" t="s">
        <v>23</v>
      </c>
      <c r="J33" s="7" t="s">
        <v>51</v>
      </c>
      <c r="K33" s="7" t="s">
        <v>93</v>
      </c>
      <c r="L33" s="7" t="s">
        <v>61</v>
      </c>
      <c r="M33" s="9" t="s">
        <v>206</v>
      </c>
      <c r="N33" s="8" t="s">
        <v>207</v>
      </c>
      <c r="O33" s="7"/>
      <c r="P33" s="6" t="str">
        <f aca="false">IF(COUNTIF($M$2:$M$101,M33)&gt;1,"⚠ 重复","唯一")</f>
        <v>唯一</v>
      </c>
    </row>
    <row r="34" customFormat="false" ht="15" hidden="false" customHeight="false" outlineLevel="0" collapsed="false">
      <c r="A34" s="6" t="n">
        <v>33</v>
      </c>
      <c r="B34" s="7" t="s">
        <v>208</v>
      </c>
      <c r="C34" s="7" t="s">
        <v>209</v>
      </c>
      <c r="D34" s="6" t="s">
        <v>18</v>
      </c>
      <c r="E34" s="8" t="s">
        <v>118</v>
      </c>
      <c r="F34" s="7" t="s">
        <v>210</v>
      </c>
      <c r="G34" s="6" t="s">
        <v>211</v>
      </c>
      <c r="H34" s="7" t="s">
        <v>104</v>
      </c>
      <c r="I34" s="7" t="s">
        <v>23</v>
      </c>
      <c r="J34" s="7" t="s">
        <v>45</v>
      </c>
      <c r="K34" s="7" t="s">
        <v>35</v>
      </c>
      <c r="L34" s="7" t="s">
        <v>132</v>
      </c>
      <c r="M34" s="9" t="s">
        <v>212</v>
      </c>
      <c r="N34" s="8" t="s">
        <v>88</v>
      </c>
      <c r="O34" s="7"/>
      <c r="P34" s="6" t="str">
        <f aca="false">IF(COUNTIF($M$2:$M$101,M34)&gt;1,"⚠ 重复","唯一")</f>
        <v>唯一</v>
      </c>
    </row>
    <row r="35" customFormat="false" ht="15" hidden="false" customHeight="false" outlineLevel="0" collapsed="false">
      <c r="A35" s="6" t="n">
        <v>34</v>
      </c>
      <c r="B35" s="7" t="s">
        <v>213</v>
      </c>
      <c r="C35" s="7" t="s">
        <v>214</v>
      </c>
      <c r="D35" s="6" t="s">
        <v>18</v>
      </c>
      <c r="E35" s="8" t="s">
        <v>118</v>
      </c>
      <c r="F35" s="7" t="s">
        <v>215</v>
      </c>
      <c r="G35" s="6" t="s">
        <v>73</v>
      </c>
      <c r="H35" s="7" t="s">
        <v>43</v>
      </c>
      <c r="I35" s="7" t="s">
        <v>23</v>
      </c>
      <c r="J35" s="7" t="s">
        <v>97</v>
      </c>
      <c r="K35" s="7" t="s">
        <v>26</v>
      </c>
      <c r="L35" s="7" t="s">
        <v>34</v>
      </c>
      <c r="M35" s="9" t="s">
        <v>216</v>
      </c>
      <c r="N35" s="8" t="s">
        <v>54</v>
      </c>
      <c r="O35" s="7"/>
      <c r="P35" s="6" t="str">
        <f aca="false">IF(COUNTIF($M$2:$M$101,M35)&gt;1,"⚠ 重复","唯一")</f>
        <v>唯一</v>
      </c>
    </row>
    <row r="36" customFormat="false" ht="15" hidden="false" customHeight="false" outlineLevel="0" collapsed="false">
      <c r="A36" s="6" t="n">
        <v>35</v>
      </c>
      <c r="B36" s="7" t="s">
        <v>217</v>
      </c>
      <c r="C36" s="7" t="s">
        <v>218</v>
      </c>
      <c r="D36" s="6" t="s">
        <v>18</v>
      </c>
      <c r="E36" s="8" t="s">
        <v>118</v>
      </c>
      <c r="F36" s="7" t="s">
        <v>219</v>
      </c>
      <c r="G36" s="6" t="s">
        <v>85</v>
      </c>
      <c r="H36" s="7" t="s">
        <v>92</v>
      </c>
      <c r="I36" s="7" t="s">
        <v>23</v>
      </c>
      <c r="J36" s="7" t="s">
        <v>126</v>
      </c>
      <c r="K36" s="7" t="s">
        <v>35</v>
      </c>
      <c r="L36" s="7" t="s">
        <v>44</v>
      </c>
      <c r="M36" s="9" t="s">
        <v>220</v>
      </c>
      <c r="N36" s="8" t="s">
        <v>88</v>
      </c>
      <c r="O36" s="7"/>
      <c r="P36" s="6" t="str">
        <f aca="false">IF(COUNTIF($M$2:$M$101,M36)&gt;1,"⚠ 重复","唯一")</f>
        <v>唯一</v>
      </c>
    </row>
    <row r="37" customFormat="false" ht="15" hidden="false" customHeight="false" outlineLevel="0" collapsed="false">
      <c r="A37" s="6" t="n">
        <v>36</v>
      </c>
      <c r="B37" s="7" t="s">
        <v>221</v>
      </c>
      <c r="C37" s="7" t="s">
        <v>222</v>
      </c>
      <c r="D37" s="6" t="s">
        <v>18</v>
      </c>
      <c r="E37" s="8" t="s">
        <v>118</v>
      </c>
      <c r="F37" s="7" t="s">
        <v>223</v>
      </c>
      <c r="G37" s="6" t="s">
        <v>103</v>
      </c>
      <c r="H37" s="7" t="s">
        <v>224</v>
      </c>
      <c r="I37" s="7" t="s">
        <v>23</v>
      </c>
      <c r="J37" s="7" t="s">
        <v>225</v>
      </c>
      <c r="K37" s="7" t="s">
        <v>226</v>
      </c>
      <c r="L37" s="7" t="s">
        <v>227</v>
      </c>
      <c r="M37" s="9" t="s">
        <v>228</v>
      </c>
      <c r="N37" s="8" t="s">
        <v>229</v>
      </c>
      <c r="O37" s="7"/>
      <c r="P37" s="6" t="str">
        <f aca="false">IF(COUNTIF($M$2:$M$101,M37)&gt;1,"⚠ 重复","唯一")</f>
        <v>唯一</v>
      </c>
    </row>
    <row r="38" customFormat="false" ht="15" hidden="false" customHeight="false" outlineLevel="0" collapsed="false">
      <c r="A38" s="6" t="n">
        <v>37</v>
      </c>
      <c r="B38" s="7" t="s">
        <v>230</v>
      </c>
      <c r="C38" s="7" t="s">
        <v>231</v>
      </c>
      <c r="D38" s="6" t="s">
        <v>18</v>
      </c>
      <c r="E38" s="8" t="s">
        <v>118</v>
      </c>
      <c r="F38" s="7" t="s">
        <v>232</v>
      </c>
      <c r="G38" s="6" t="s">
        <v>66</v>
      </c>
      <c r="H38" s="7" t="s">
        <v>92</v>
      </c>
      <c r="I38" s="7" t="s">
        <v>23</v>
      </c>
      <c r="J38" s="7" t="s">
        <v>233</v>
      </c>
      <c r="K38" s="7" t="s">
        <v>61</v>
      </c>
      <c r="L38" s="7" t="s">
        <v>226</v>
      </c>
      <c r="M38" s="9" t="s">
        <v>234</v>
      </c>
      <c r="N38" s="8" t="s">
        <v>88</v>
      </c>
      <c r="O38" s="7"/>
      <c r="P38" s="6" t="str">
        <f aca="false">IF(COUNTIF($M$2:$M$101,M38)&gt;1,"⚠ 重复","唯一")</f>
        <v>唯一</v>
      </c>
    </row>
    <row r="39" customFormat="false" ht="15" hidden="false" customHeight="false" outlineLevel="0" collapsed="false">
      <c r="A39" s="6" t="n">
        <v>38</v>
      </c>
      <c r="B39" s="7" t="s">
        <v>235</v>
      </c>
      <c r="C39" s="7" t="s">
        <v>236</v>
      </c>
      <c r="D39" s="6" t="s">
        <v>18</v>
      </c>
      <c r="E39" s="8" t="s">
        <v>118</v>
      </c>
      <c r="F39" s="7" t="s">
        <v>237</v>
      </c>
      <c r="G39" s="6" t="s">
        <v>79</v>
      </c>
      <c r="H39" s="7" t="s">
        <v>43</v>
      </c>
      <c r="I39" s="7" t="s">
        <v>23</v>
      </c>
      <c r="J39" s="7" t="s">
        <v>238</v>
      </c>
      <c r="K39" s="7" t="s">
        <v>24</v>
      </c>
      <c r="L39" s="7" t="s">
        <v>121</v>
      </c>
      <c r="M39" s="9" t="s">
        <v>239</v>
      </c>
      <c r="N39" s="8" t="s">
        <v>54</v>
      </c>
      <c r="O39" s="7"/>
      <c r="P39" s="6" t="str">
        <f aca="false">IF(COUNTIF($M$2:$M$101,M39)&gt;1,"⚠ 重复","唯一")</f>
        <v>唯一</v>
      </c>
    </row>
    <row r="40" customFormat="false" ht="15" hidden="false" customHeight="false" outlineLevel="0" collapsed="false">
      <c r="A40" s="6" t="n">
        <v>39</v>
      </c>
      <c r="B40" s="7" t="s">
        <v>240</v>
      </c>
      <c r="C40" s="7" t="s">
        <v>241</v>
      </c>
      <c r="D40" s="6" t="s">
        <v>18</v>
      </c>
      <c r="E40" s="8" t="s">
        <v>118</v>
      </c>
      <c r="F40" s="7" t="s">
        <v>242</v>
      </c>
      <c r="G40" s="6" t="s">
        <v>243</v>
      </c>
      <c r="H40" s="7" t="s">
        <v>33</v>
      </c>
      <c r="I40" s="7" t="s">
        <v>23</v>
      </c>
      <c r="J40" s="7" t="s">
        <v>97</v>
      </c>
      <c r="K40" s="7" t="s">
        <v>98</v>
      </c>
      <c r="L40" s="7" t="s">
        <v>51</v>
      </c>
      <c r="M40" s="9" t="s">
        <v>244</v>
      </c>
      <c r="N40" s="8" t="s">
        <v>148</v>
      </c>
      <c r="O40" s="7"/>
      <c r="P40" s="6" t="str">
        <f aca="false">IF(COUNTIF($M$2:$M$101,M40)&gt;1,"⚠ 重复","唯一")</f>
        <v>唯一</v>
      </c>
    </row>
    <row r="41" customFormat="false" ht="15" hidden="false" customHeight="false" outlineLevel="0" collapsed="false">
      <c r="A41" s="6" t="n">
        <v>40</v>
      </c>
      <c r="B41" s="7" t="s">
        <v>245</v>
      </c>
      <c r="C41" s="7" t="s">
        <v>246</v>
      </c>
      <c r="D41" s="6" t="s">
        <v>18</v>
      </c>
      <c r="E41" s="8" t="s">
        <v>118</v>
      </c>
      <c r="F41" s="7" t="s">
        <v>247</v>
      </c>
      <c r="G41" s="6" t="s">
        <v>21</v>
      </c>
      <c r="H41" s="7" t="s">
        <v>43</v>
      </c>
      <c r="I41" s="7" t="s">
        <v>23</v>
      </c>
      <c r="J41" s="7" t="s">
        <v>86</v>
      </c>
      <c r="K41" s="7" t="s">
        <v>80</v>
      </c>
      <c r="L41" s="7" t="s">
        <v>35</v>
      </c>
      <c r="M41" s="9" t="s">
        <v>248</v>
      </c>
      <c r="N41" s="8" t="s">
        <v>54</v>
      </c>
      <c r="O41" s="7"/>
      <c r="P41" s="6" t="str">
        <f aca="false">IF(COUNTIF($M$2:$M$101,M41)&gt;1,"⚠ 重复","唯一")</f>
        <v>唯一</v>
      </c>
    </row>
    <row r="42" customFormat="false" ht="29.85" hidden="false" customHeight="false" outlineLevel="0" collapsed="false">
      <c r="A42" s="2" t="n">
        <v>41</v>
      </c>
      <c r="B42" s="3" t="s">
        <v>249</v>
      </c>
      <c r="C42" s="3" t="s">
        <v>250</v>
      </c>
      <c r="D42" s="2" t="s">
        <v>251</v>
      </c>
      <c r="E42" s="4" t="s">
        <v>118</v>
      </c>
      <c r="F42" s="3" t="s">
        <v>252</v>
      </c>
      <c r="G42" s="2" t="s">
        <v>32</v>
      </c>
      <c r="H42" s="3" t="s">
        <v>253</v>
      </c>
      <c r="I42" s="3" t="s">
        <v>254</v>
      </c>
      <c r="J42" s="3" t="s">
        <v>181</v>
      </c>
      <c r="K42" s="3" t="s">
        <v>93</v>
      </c>
      <c r="L42" s="3" t="s">
        <v>227</v>
      </c>
      <c r="M42" s="5" t="s">
        <v>255</v>
      </c>
      <c r="N42" s="4" t="s">
        <v>256</v>
      </c>
      <c r="O42" s="3" t="s">
        <v>257</v>
      </c>
      <c r="P42" s="2" t="str">
        <f aca="false">IF(COUNTIF($M$2:$M$101,M42)&gt;1,"⚠ 重复","唯一")</f>
        <v>唯一</v>
      </c>
    </row>
    <row r="43" customFormat="false" ht="29.85" hidden="false" customHeight="false" outlineLevel="0" collapsed="false">
      <c r="A43" s="6" t="n">
        <v>42</v>
      </c>
      <c r="B43" s="7" t="s">
        <v>258</v>
      </c>
      <c r="C43" s="7" t="s">
        <v>259</v>
      </c>
      <c r="D43" s="6" t="s">
        <v>251</v>
      </c>
      <c r="E43" s="8" t="s">
        <v>118</v>
      </c>
      <c r="F43" s="7" t="s">
        <v>260</v>
      </c>
      <c r="G43" s="6" t="s">
        <v>131</v>
      </c>
      <c r="H43" s="7" t="s">
        <v>261</v>
      </c>
      <c r="I43" s="7" t="s">
        <v>254</v>
      </c>
      <c r="J43" s="7" t="s">
        <v>51</v>
      </c>
      <c r="K43" s="7" t="s">
        <v>142</v>
      </c>
      <c r="L43" s="7" t="s">
        <v>262</v>
      </c>
      <c r="M43" s="9" t="s">
        <v>263</v>
      </c>
      <c r="N43" s="8" t="s">
        <v>264</v>
      </c>
      <c r="O43" s="7"/>
      <c r="P43" s="6" t="str">
        <f aca="false">IF(COUNTIF($M$2:$M$101,M43)&gt;1,"⚠ 重复","唯一")</f>
        <v>唯一</v>
      </c>
    </row>
    <row r="44" customFormat="false" ht="29.85" hidden="false" customHeight="false" outlineLevel="0" collapsed="false">
      <c r="A44" s="6" t="n">
        <v>43</v>
      </c>
      <c r="B44" s="7" t="s">
        <v>265</v>
      </c>
      <c r="C44" s="7" t="s">
        <v>266</v>
      </c>
      <c r="D44" s="6" t="s">
        <v>251</v>
      </c>
      <c r="E44" s="8" t="s">
        <v>118</v>
      </c>
      <c r="F44" s="7" t="s">
        <v>267</v>
      </c>
      <c r="G44" s="6" t="s">
        <v>50</v>
      </c>
      <c r="H44" s="7" t="s">
        <v>253</v>
      </c>
      <c r="I44" s="7" t="s">
        <v>254</v>
      </c>
      <c r="J44" s="7" t="s">
        <v>93</v>
      </c>
      <c r="K44" s="7" t="s">
        <v>132</v>
      </c>
      <c r="L44" s="7" t="s">
        <v>227</v>
      </c>
      <c r="M44" s="9" t="s">
        <v>268</v>
      </c>
      <c r="N44" s="8" t="s">
        <v>121</v>
      </c>
      <c r="O44" s="7"/>
      <c r="P44" s="6" t="str">
        <f aca="false">IF(COUNTIF($M$2:$M$101,M44)&gt;1,"⚠ 重复","唯一")</f>
        <v>唯一</v>
      </c>
    </row>
    <row r="45" customFormat="false" ht="29.85" hidden="false" customHeight="false" outlineLevel="0" collapsed="false">
      <c r="A45" s="6" t="n">
        <v>44</v>
      </c>
      <c r="B45" s="7" t="s">
        <v>269</v>
      </c>
      <c r="C45" s="7" t="s">
        <v>270</v>
      </c>
      <c r="D45" s="6" t="s">
        <v>251</v>
      </c>
      <c r="E45" s="8" t="s">
        <v>118</v>
      </c>
      <c r="F45" s="7" t="s">
        <v>271</v>
      </c>
      <c r="G45" s="6" t="s">
        <v>140</v>
      </c>
      <c r="H45" s="7" t="s">
        <v>253</v>
      </c>
      <c r="I45" s="7" t="s">
        <v>254</v>
      </c>
      <c r="J45" s="7" t="s">
        <v>26</v>
      </c>
      <c r="K45" s="7" t="s">
        <v>93</v>
      </c>
      <c r="L45" s="7" t="s">
        <v>262</v>
      </c>
      <c r="M45" s="9" t="s">
        <v>272</v>
      </c>
      <c r="N45" s="8" t="s">
        <v>256</v>
      </c>
      <c r="O45" s="7"/>
      <c r="P45" s="6" t="str">
        <f aca="false">IF(COUNTIF($M$2:$M$101,M45)&gt;1,"⚠ 重复","唯一")</f>
        <v>唯一</v>
      </c>
    </row>
    <row r="46" customFormat="false" ht="29.85" hidden="false" customHeight="false" outlineLevel="0" collapsed="false">
      <c r="A46" s="6" t="n">
        <v>45</v>
      </c>
      <c r="B46" s="7" t="s">
        <v>273</v>
      </c>
      <c r="C46" s="7" t="s">
        <v>274</v>
      </c>
      <c r="D46" s="6" t="s">
        <v>251</v>
      </c>
      <c r="E46" s="8" t="s">
        <v>118</v>
      </c>
      <c r="F46" s="7" t="s">
        <v>275</v>
      </c>
      <c r="G46" s="6" t="s">
        <v>180</v>
      </c>
      <c r="H46" s="7" t="s">
        <v>261</v>
      </c>
      <c r="I46" s="7" t="s">
        <v>254</v>
      </c>
      <c r="J46" s="7" t="s">
        <v>93</v>
      </c>
      <c r="K46" s="7" t="s">
        <v>121</v>
      </c>
      <c r="L46" s="7" t="s">
        <v>262</v>
      </c>
      <c r="M46" s="9" t="s">
        <v>276</v>
      </c>
      <c r="N46" s="8" t="s">
        <v>264</v>
      </c>
      <c r="O46" s="7"/>
      <c r="P46" s="6" t="str">
        <f aca="false">IF(COUNTIF($M$2:$M$101,M46)&gt;1,"⚠ 重复","唯一")</f>
        <v>唯一</v>
      </c>
    </row>
    <row r="47" customFormat="false" ht="29.85" hidden="false" customHeight="false" outlineLevel="0" collapsed="false">
      <c r="A47" s="6" t="n">
        <v>46</v>
      </c>
      <c r="B47" s="7" t="s">
        <v>277</v>
      </c>
      <c r="C47" s="7" t="s">
        <v>278</v>
      </c>
      <c r="D47" s="6" t="s">
        <v>251</v>
      </c>
      <c r="E47" s="8" t="s">
        <v>118</v>
      </c>
      <c r="F47" s="7" t="s">
        <v>267</v>
      </c>
      <c r="G47" s="6" t="s">
        <v>73</v>
      </c>
      <c r="H47" s="7" t="s">
        <v>261</v>
      </c>
      <c r="I47" s="7" t="s">
        <v>254</v>
      </c>
      <c r="J47" s="7" t="s">
        <v>93</v>
      </c>
      <c r="K47" s="7" t="s">
        <v>262</v>
      </c>
      <c r="L47" s="7" t="s">
        <v>121</v>
      </c>
      <c r="M47" s="9" t="s">
        <v>279</v>
      </c>
      <c r="N47" s="8" t="s">
        <v>121</v>
      </c>
      <c r="O47" s="7"/>
      <c r="P47" s="6" t="str">
        <f aca="false">IF(COUNTIF($M$2:$M$101,M47)&gt;1,"⚠ 重复","唯一")</f>
        <v>唯一</v>
      </c>
    </row>
    <row r="48" customFormat="false" ht="29.85" hidden="false" customHeight="false" outlineLevel="0" collapsed="false">
      <c r="A48" s="6" t="n">
        <v>47</v>
      </c>
      <c r="B48" s="7" t="s">
        <v>280</v>
      </c>
      <c r="C48" s="7" t="s">
        <v>281</v>
      </c>
      <c r="D48" s="6" t="s">
        <v>251</v>
      </c>
      <c r="E48" s="8" t="s">
        <v>118</v>
      </c>
      <c r="F48" s="7" t="s">
        <v>282</v>
      </c>
      <c r="G48" s="6" t="s">
        <v>79</v>
      </c>
      <c r="H48" s="7" t="s">
        <v>253</v>
      </c>
      <c r="I48" s="7" t="s">
        <v>254</v>
      </c>
      <c r="J48" s="7" t="s">
        <v>93</v>
      </c>
      <c r="K48" s="7" t="s">
        <v>35</v>
      </c>
      <c r="L48" s="7" t="s">
        <v>262</v>
      </c>
      <c r="M48" s="9" t="s">
        <v>283</v>
      </c>
      <c r="N48" s="8" t="s">
        <v>256</v>
      </c>
      <c r="O48" s="7"/>
      <c r="P48" s="6" t="str">
        <f aca="false">IF(COUNTIF($M$2:$M$101,M48)&gt;1,"⚠ 重复","唯一")</f>
        <v>唯一</v>
      </c>
    </row>
    <row r="49" customFormat="false" ht="29.85" hidden="false" customHeight="false" outlineLevel="0" collapsed="false">
      <c r="A49" s="6" t="n">
        <v>48</v>
      </c>
      <c r="B49" s="7" t="s">
        <v>284</v>
      </c>
      <c r="C49" s="7" t="s">
        <v>285</v>
      </c>
      <c r="D49" s="6" t="s">
        <v>251</v>
      </c>
      <c r="E49" s="8" t="s">
        <v>118</v>
      </c>
      <c r="F49" s="7" t="s">
        <v>237</v>
      </c>
      <c r="G49" s="6" t="s">
        <v>85</v>
      </c>
      <c r="H49" s="7" t="s">
        <v>261</v>
      </c>
      <c r="I49" s="7" t="s">
        <v>254</v>
      </c>
      <c r="J49" s="7" t="s">
        <v>51</v>
      </c>
      <c r="K49" s="7" t="s">
        <v>238</v>
      </c>
      <c r="L49" s="7" t="s">
        <v>262</v>
      </c>
      <c r="M49" s="9" t="s">
        <v>286</v>
      </c>
      <c r="N49" s="8" t="s">
        <v>264</v>
      </c>
      <c r="O49" s="7"/>
      <c r="P49" s="6" t="str">
        <f aca="false">IF(COUNTIF($M$2:$M$101,M49)&gt;1,"⚠ 重复","唯一")</f>
        <v>唯一</v>
      </c>
    </row>
    <row r="50" customFormat="false" ht="29.85" hidden="false" customHeight="false" outlineLevel="0" collapsed="false">
      <c r="A50" s="6" t="n">
        <v>49</v>
      </c>
      <c r="B50" s="7" t="s">
        <v>287</v>
      </c>
      <c r="C50" s="7" t="s">
        <v>288</v>
      </c>
      <c r="D50" s="6" t="s">
        <v>251</v>
      </c>
      <c r="E50" s="8" t="s">
        <v>118</v>
      </c>
      <c r="F50" s="7" t="s">
        <v>289</v>
      </c>
      <c r="G50" s="6" t="s">
        <v>103</v>
      </c>
      <c r="H50" s="7" t="s">
        <v>253</v>
      </c>
      <c r="I50" s="7" t="s">
        <v>254</v>
      </c>
      <c r="J50" s="7" t="s">
        <v>93</v>
      </c>
      <c r="K50" s="7" t="s">
        <v>227</v>
      </c>
      <c r="L50" s="7" t="s">
        <v>262</v>
      </c>
      <c r="M50" s="9" t="s">
        <v>290</v>
      </c>
      <c r="N50" s="8" t="s">
        <v>121</v>
      </c>
      <c r="O50" s="7"/>
      <c r="P50" s="6" t="str">
        <f aca="false">IF(COUNTIF($M$2:$M$101,M50)&gt;1,"⚠ 重复","唯一")</f>
        <v>唯一</v>
      </c>
    </row>
    <row r="51" customFormat="false" ht="29.85" hidden="false" customHeight="false" outlineLevel="0" collapsed="false">
      <c r="A51" s="2" t="n">
        <v>50</v>
      </c>
      <c r="B51" s="3" t="s">
        <v>291</v>
      </c>
      <c r="C51" s="3" t="s">
        <v>292</v>
      </c>
      <c r="D51" s="2" t="s">
        <v>251</v>
      </c>
      <c r="E51" s="4" t="s">
        <v>293</v>
      </c>
      <c r="F51" s="3" t="s">
        <v>294</v>
      </c>
      <c r="G51" s="2" t="s">
        <v>109</v>
      </c>
      <c r="H51" s="3" t="s">
        <v>295</v>
      </c>
      <c r="I51" s="3" t="s">
        <v>296</v>
      </c>
      <c r="J51" s="3" t="s">
        <v>112</v>
      </c>
      <c r="K51" s="3" t="s">
        <v>93</v>
      </c>
      <c r="L51" s="3" t="s">
        <v>45</v>
      </c>
      <c r="M51" s="5" t="s">
        <v>297</v>
      </c>
      <c r="N51" s="4" t="s">
        <v>298</v>
      </c>
      <c r="O51" s="3" t="s">
        <v>299</v>
      </c>
      <c r="P51" s="2" t="str">
        <f aca="false">IF(COUNTIF($M$2:$M$101,M51)&gt;1,"⚠ 重复","唯一")</f>
        <v>唯一</v>
      </c>
    </row>
    <row r="52" customFormat="false" ht="29.85" hidden="false" customHeight="false" outlineLevel="0" collapsed="false">
      <c r="A52" s="10" t="n">
        <v>51</v>
      </c>
      <c r="B52" s="11" t="s">
        <v>300</v>
      </c>
      <c r="C52" s="11" t="s">
        <v>301</v>
      </c>
      <c r="D52" s="10" t="s">
        <v>251</v>
      </c>
      <c r="E52" s="12" t="s">
        <v>118</v>
      </c>
      <c r="F52" s="11" t="s">
        <v>302</v>
      </c>
      <c r="G52" s="10" t="s">
        <v>21</v>
      </c>
      <c r="H52" s="11" t="s">
        <v>58</v>
      </c>
      <c r="I52" s="11" t="s">
        <v>254</v>
      </c>
      <c r="J52" s="11" t="s">
        <v>45</v>
      </c>
      <c r="K52" s="11" t="s">
        <v>181</v>
      </c>
      <c r="L52" s="11" t="s">
        <v>24</v>
      </c>
      <c r="M52" s="13" t="s">
        <v>303</v>
      </c>
      <c r="N52" s="12" t="s">
        <v>28</v>
      </c>
      <c r="O52" s="11"/>
      <c r="P52" s="10" t="str">
        <f aca="false">IF(COUNTIF($M$2:$M$101,M52)&gt;1,"⚠ 重复","唯一")</f>
        <v>唯一</v>
      </c>
    </row>
    <row r="53" customFormat="false" ht="29.85" hidden="false" customHeight="false" outlineLevel="0" collapsed="false">
      <c r="A53" s="10" t="n">
        <v>52</v>
      </c>
      <c r="B53" s="11" t="s">
        <v>304</v>
      </c>
      <c r="C53" s="11" t="s">
        <v>305</v>
      </c>
      <c r="D53" s="10" t="s">
        <v>251</v>
      </c>
      <c r="E53" s="12" t="s">
        <v>118</v>
      </c>
      <c r="F53" s="11" t="s">
        <v>306</v>
      </c>
      <c r="G53" s="10" t="s">
        <v>32</v>
      </c>
      <c r="H53" s="11" t="s">
        <v>155</v>
      </c>
      <c r="I53" s="11" t="s">
        <v>254</v>
      </c>
      <c r="J53" s="11" t="s">
        <v>35</v>
      </c>
      <c r="K53" s="11" t="s">
        <v>24</v>
      </c>
      <c r="L53" s="11" t="s">
        <v>51</v>
      </c>
      <c r="M53" s="13" t="s">
        <v>307</v>
      </c>
      <c r="N53" s="12" t="s">
        <v>38</v>
      </c>
      <c r="O53" s="11"/>
      <c r="P53" s="10" t="str">
        <f aca="false">IF(COUNTIF($M$2:$M$101,M53)&gt;1,"⚠ 重复","唯一")</f>
        <v>唯一</v>
      </c>
    </row>
    <row r="54" customFormat="false" ht="29.85" hidden="false" customHeight="false" outlineLevel="0" collapsed="false">
      <c r="A54" s="2" t="n">
        <v>53</v>
      </c>
      <c r="B54" s="3" t="s">
        <v>308</v>
      </c>
      <c r="C54" s="3" t="s">
        <v>309</v>
      </c>
      <c r="D54" s="2" t="s">
        <v>251</v>
      </c>
      <c r="E54" s="4" t="s">
        <v>118</v>
      </c>
      <c r="F54" s="3" t="s">
        <v>310</v>
      </c>
      <c r="G54" s="2" t="s">
        <v>131</v>
      </c>
      <c r="H54" s="3" t="s">
        <v>311</v>
      </c>
      <c r="I54" s="3" t="s">
        <v>312</v>
      </c>
      <c r="J54" s="3" t="s">
        <v>93</v>
      </c>
      <c r="K54" s="3" t="s">
        <v>34</v>
      </c>
      <c r="L54" s="3" t="s">
        <v>226</v>
      </c>
      <c r="M54" s="5" t="s">
        <v>313</v>
      </c>
      <c r="N54" s="4" t="s">
        <v>314</v>
      </c>
      <c r="O54" s="3" t="s">
        <v>315</v>
      </c>
      <c r="P54" s="2" t="str">
        <f aca="false">IF(COUNTIF($M$2:$M$101,M54)&gt;1,"⚠ 重复","唯一")</f>
        <v>唯一</v>
      </c>
    </row>
    <row r="55" customFormat="false" ht="29.85" hidden="false" customHeight="false" outlineLevel="0" collapsed="false">
      <c r="A55" s="10" t="n">
        <v>54</v>
      </c>
      <c r="B55" s="11" t="s">
        <v>316</v>
      </c>
      <c r="C55" s="11" t="s">
        <v>317</v>
      </c>
      <c r="D55" s="10" t="s">
        <v>251</v>
      </c>
      <c r="E55" s="12" t="s">
        <v>118</v>
      </c>
      <c r="F55" s="11" t="s">
        <v>318</v>
      </c>
      <c r="G55" s="10" t="s">
        <v>50</v>
      </c>
      <c r="H55" s="11" t="s">
        <v>43</v>
      </c>
      <c r="I55" s="11" t="s">
        <v>312</v>
      </c>
      <c r="J55" s="11" t="s">
        <v>51</v>
      </c>
      <c r="K55" s="11" t="s">
        <v>262</v>
      </c>
      <c r="L55" s="11" t="s">
        <v>97</v>
      </c>
      <c r="M55" s="13" t="s">
        <v>319</v>
      </c>
      <c r="N55" s="12" t="s">
        <v>54</v>
      </c>
      <c r="O55" s="11"/>
      <c r="P55" s="10" t="str">
        <f aca="false">IF(COUNTIF($M$2:$M$101,M55)&gt;1,"⚠ 重复","唯一")</f>
        <v>唯一</v>
      </c>
    </row>
    <row r="56" customFormat="false" ht="29.85" hidden="false" customHeight="false" outlineLevel="0" collapsed="false">
      <c r="A56" s="10" t="n">
        <v>55</v>
      </c>
      <c r="B56" s="11" t="s">
        <v>320</v>
      </c>
      <c r="C56" s="11" t="s">
        <v>321</v>
      </c>
      <c r="D56" s="10" t="s">
        <v>251</v>
      </c>
      <c r="E56" s="12" t="s">
        <v>118</v>
      </c>
      <c r="F56" s="11" t="s">
        <v>322</v>
      </c>
      <c r="G56" s="10" t="s">
        <v>66</v>
      </c>
      <c r="H56" s="11" t="s">
        <v>323</v>
      </c>
      <c r="I56" s="11" t="s">
        <v>324</v>
      </c>
      <c r="J56" s="11" t="s">
        <v>67</v>
      </c>
      <c r="K56" s="11" t="s">
        <v>97</v>
      </c>
      <c r="L56" s="11" t="s">
        <v>26</v>
      </c>
      <c r="M56" s="13" t="s">
        <v>325</v>
      </c>
      <c r="N56" s="12" t="s">
        <v>157</v>
      </c>
      <c r="O56" s="11"/>
      <c r="P56" s="10" t="str">
        <f aca="false">IF(COUNTIF($M$2:$M$101,M56)&gt;1,"⚠ 重复","唯一")</f>
        <v>唯一</v>
      </c>
    </row>
    <row r="57" customFormat="false" ht="29.85" hidden="false" customHeight="false" outlineLevel="0" collapsed="false">
      <c r="A57" s="10" t="n">
        <v>56</v>
      </c>
      <c r="B57" s="11" t="s">
        <v>326</v>
      </c>
      <c r="C57" s="11" t="s">
        <v>327</v>
      </c>
      <c r="D57" s="10" t="s">
        <v>251</v>
      </c>
      <c r="E57" s="12" t="s">
        <v>118</v>
      </c>
      <c r="F57" s="11" t="s">
        <v>328</v>
      </c>
      <c r="G57" s="10" t="s">
        <v>140</v>
      </c>
      <c r="H57" s="11" t="s">
        <v>329</v>
      </c>
      <c r="I57" s="11" t="s">
        <v>312</v>
      </c>
      <c r="J57" s="11" t="s">
        <v>45</v>
      </c>
      <c r="K57" s="11" t="s">
        <v>93</v>
      </c>
      <c r="L57" s="11" t="s">
        <v>35</v>
      </c>
      <c r="M57" s="13" t="s">
        <v>330</v>
      </c>
      <c r="N57" s="12" t="s">
        <v>88</v>
      </c>
      <c r="O57" s="11"/>
      <c r="P57" s="10" t="str">
        <f aca="false">IF(COUNTIF($M$2:$M$101,M57)&gt;1,"⚠ 重复","唯一")</f>
        <v>唯一</v>
      </c>
    </row>
    <row r="58" customFormat="false" ht="29.85" hidden="false" customHeight="false" outlineLevel="0" collapsed="false">
      <c r="A58" s="10" t="n">
        <v>57</v>
      </c>
      <c r="B58" s="11" t="s">
        <v>331</v>
      </c>
      <c r="C58" s="11" t="s">
        <v>332</v>
      </c>
      <c r="D58" s="10" t="s">
        <v>251</v>
      </c>
      <c r="E58" s="12" t="s">
        <v>118</v>
      </c>
      <c r="F58" s="11" t="s">
        <v>333</v>
      </c>
      <c r="G58" s="10" t="s">
        <v>180</v>
      </c>
      <c r="H58" s="11" t="s">
        <v>334</v>
      </c>
      <c r="I58" s="11" t="s">
        <v>312</v>
      </c>
      <c r="J58" s="11" t="s">
        <v>93</v>
      </c>
      <c r="K58" s="11" t="s">
        <v>97</v>
      </c>
      <c r="L58" s="11" t="s">
        <v>132</v>
      </c>
      <c r="M58" s="13" t="s">
        <v>335</v>
      </c>
      <c r="N58" s="12" t="s">
        <v>121</v>
      </c>
      <c r="O58" s="11"/>
      <c r="P58" s="10" t="str">
        <f aca="false">IF(COUNTIF($M$2:$M$101,M58)&gt;1,"⚠ 重复","唯一")</f>
        <v>唯一</v>
      </c>
    </row>
    <row r="59" customFormat="false" ht="29.85" hidden="false" customHeight="false" outlineLevel="0" collapsed="false">
      <c r="A59" s="10" t="n">
        <v>58</v>
      </c>
      <c r="B59" s="11" t="s">
        <v>336</v>
      </c>
      <c r="C59" s="11" t="s">
        <v>337</v>
      </c>
      <c r="D59" s="10" t="s">
        <v>251</v>
      </c>
      <c r="E59" s="12" t="s">
        <v>118</v>
      </c>
      <c r="F59" s="11" t="s">
        <v>338</v>
      </c>
      <c r="G59" s="10" t="s">
        <v>73</v>
      </c>
      <c r="H59" s="11" t="s">
        <v>339</v>
      </c>
      <c r="I59" s="11" t="s">
        <v>312</v>
      </c>
      <c r="J59" s="11" t="s">
        <v>24</v>
      </c>
      <c r="K59" s="11" t="s">
        <v>93</v>
      </c>
      <c r="L59" s="11" t="s">
        <v>121</v>
      </c>
      <c r="M59" s="13" t="s">
        <v>340</v>
      </c>
      <c r="N59" s="12" t="s">
        <v>341</v>
      </c>
      <c r="O59" s="11"/>
      <c r="P59" s="10" t="str">
        <f aca="false">IF(COUNTIF($M$2:$M$101,M59)&gt;1,"⚠ 重复","唯一")</f>
        <v>唯一</v>
      </c>
    </row>
    <row r="60" customFormat="false" ht="29.85" hidden="false" customHeight="false" outlineLevel="0" collapsed="false">
      <c r="A60" s="10" t="n">
        <v>59</v>
      </c>
      <c r="B60" s="11" t="s">
        <v>342</v>
      </c>
      <c r="C60" s="11" t="s">
        <v>343</v>
      </c>
      <c r="D60" s="10" t="s">
        <v>251</v>
      </c>
      <c r="E60" s="12" t="s">
        <v>118</v>
      </c>
      <c r="F60" s="11" t="s">
        <v>344</v>
      </c>
      <c r="G60" s="10" t="s">
        <v>79</v>
      </c>
      <c r="H60" s="11" t="s">
        <v>155</v>
      </c>
      <c r="I60" s="11" t="s">
        <v>312</v>
      </c>
      <c r="J60" s="11" t="s">
        <v>98</v>
      </c>
      <c r="K60" s="11" t="s">
        <v>34</v>
      </c>
      <c r="L60" s="11" t="s">
        <v>44</v>
      </c>
      <c r="M60" s="13" t="s">
        <v>345</v>
      </c>
      <c r="N60" s="12" t="s">
        <v>38</v>
      </c>
      <c r="O60" s="11"/>
      <c r="P60" s="10" t="str">
        <f aca="false">IF(COUNTIF($M$2:$M$101,M60)&gt;1,"⚠ 重复","唯一")</f>
        <v>唯一</v>
      </c>
    </row>
    <row r="61" customFormat="false" ht="29.85" hidden="false" customHeight="false" outlineLevel="0" collapsed="false">
      <c r="A61" s="10" t="n">
        <v>60</v>
      </c>
      <c r="B61" s="11" t="s">
        <v>346</v>
      </c>
      <c r="C61" s="11" t="s">
        <v>347</v>
      </c>
      <c r="D61" s="10" t="s">
        <v>251</v>
      </c>
      <c r="E61" s="12" t="s">
        <v>118</v>
      </c>
      <c r="F61" s="11" t="s">
        <v>348</v>
      </c>
      <c r="G61" s="10" t="s">
        <v>85</v>
      </c>
      <c r="H61" s="11" t="s">
        <v>261</v>
      </c>
      <c r="I61" s="11" t="s">
        <v>312</v>
      </c>
      <c r="J61" s="11" t="s">
        <v>93</v>
      </c>
      <c r="K61" s="11" t="s">
        <v>26</v>
      </c>
      <c r="L61" s="11" t="s">
        <v>59</v>
      </c>
      <c r="M61" s="13" t="s">
        <v>349</v>
      </c>
      <c r="N61" s="12" t="s">
        <v>264</v>
      </c>
      <c r="O61" s="11"/>
      <c r="P61" s="10" t="str">
        <f aca="false">IF(COUNTIF($M$2:$M$101,M61)&gt;1,"⚠ 重复","唯一")</f>
        <v>唯一</v>
      </c>
    </row>
    <row r="62" customFormat="false" ht="29.85" hidden="false" customHeight="false" outlineLevel="0" collapsed="false">
      <c r="A62" s="10" t="n">
        <v>61</v>
      </c>
      <c r="B62" s="11" t="s">
        <v>350</v>
      </c>
      <c r="C62" s="11" t="s">
        <v>351</v>
      </c>
      <c r="D62" s="10" t="s">
        <v>251</v>
      </c>
      <c r="E62" s="12" t="s">
        <v>118</v>
      </c>
      <c r="F62" s="11" t="s">
        <v>194</v>
      </c>
      <c r="G62" s="10" t="s">
        <v>103</v>
      </c>
      <c r="H62" s="11" t="s">
        <v>110</v>
      </c>
      <c r="I62" s="11" t="s">
        <v>324</v>
      </c>
      <c r="J62" s="11" t="s">
        <v>26</v>
      </c>
      <c r="K62" s="11" t="s">
        <v>60</v>
      </c>
      <c r="L62" s="11" t="s">
        <v>112</v>
      </c>
      <c r="M62" s="13" t="s">
        <v>352</v>
      </c>
      <c r="N62" s="12" t="s">
        <v>353</v>
      </c>
      <c r="O62" s="11"/>
      <c r="P62" s="10" t="str">
        <f aca="false">IF(COUNTIF($M$2:$M$101,M62)&gt;1,"⚠ 重复","唯一")</f>
        <v>唯一</v>
      </c>
    </row>
    <row r="63" customFormat="false" ht="29.85" hidden="false" customHeight="false" outlineLevel="0" collapsed="false">
      <c r="A63" s="2" t="n">
        <v>62</v>
      </c>
      <c r="B63" s="3" t="s">
        <v>354</v>
      </c>
      <c r="C63" s="3" t="s">
        <v>355</v>
      </c>
      <c r="D63" s="2" t="s">
        <v>251</v>
      </c>
      <c r="E63" s="4" t="s">
        <v>118</v>
      </c>
      <c r="F63" s="3" t="s">
        <v>322</v>
      </c>
      <c r="G63" s="2" t="s">
        <v>109</v>
      </c>
      <c r="H63" s="3" t="s">
        <v>356</v>
      </c>
      <c r="I63" s="3" t="s">
        <v>324</v>
      </c>
      <c r="J63" s="3" t="s">
        <v>45</v>
      </c>
      <c r="K63" s="3" t="s">
        <v>35</v>
      </c>
      <c r="L63" s="3" t="s">
        <v>112</v>
      </c>
      <c r="M63" s="5" t="s">
        <v>357</v>
      </c>
      <c r="N63" s="4" t="s">
        <v>114</v>
      </c>
      <c r="O63" s="3" t="s">
        <v>358</v>
      </c>
      <c r="P63" s="2" t="str">
        <f aca="false">IF(COUNTIF($M$2:$M$101,M63)&gt;1,"⚠ 重复","唯一")</f>
        <v>唯一</v>
      </c>
    </row>
    <row r="64" customFormat="false" ht="29.85" hidden="false" customHeight="false" outlineLevel="0" collapsed="false">
      <c r="A64" s="10" t="n">
        <v>63</v>
      </c>
      <c r="B64" s="11" t="s">
        <v>359</v>
      </c>
      <c r="C64" s="11" t="s">
        <v>360</v>
      </c>
      <c r="D64" s="10" t="s">
        <v>251</v>
      </c>
      <c r="E64" s="12" t="s">
        <v>118</v>
      </c>
      <c r="F64" s="11" t="s">
        <v>361</v>
      </c>
      <c r="G64" s="10" t="s">
        <v>21</v>
      </c>
      <c r="H64" s="11" t="s">
        <v>92</v>
      </c>
      <c r="I64" s="11" t="s">
        <v>312</v>
      </c>
      <c r="J64" s="11" t="s">
        <v>24</v>
      </c>
      <c r="K64" s="11" t="s">
        <v>45</v>
      </c>
      <c r="L64" s="11" t="s">
        <v>97</v>
      </c>
      <c r="M64" s="13" t="s">
        <v>362</v>
      </c>
      <c r="N64" s="12" t="s">
        <v>88</v>
      </c>
      <c r="O64" s="11"/>
      <c r="P64" s="10" t="str">
        <f aca="false">IF(COUNTIF($M$2:$M$101,M64)&gt;1,"⚠ 重复","唯一")</f>
        <v>唯一</v>
      </c>
    </row>
    <row r="65" customFormat="false" ht="29.85" hidden="false" customHeight="false" outlineLevel="0" collapsed="false">
      <c r="A65" s="10" t="n">
        <v>64</v>
      </c>
      <c r="B65" s="11" t="s">
        <v>363</v>
      </c>
      <c r="C65" s="11" t="s">
        <v>364</v>
      </c>
      <c r="D65" s="10" t="s">
        <v>251</v>
      </c>
      <c r="E65" s="12" t="s">
        <v>118</v>
      </c>
      <c r="F65" s="11" t="s">
        <v>365</v>
      </c>
      <c r="G65" s="10" t="s">
        <v>32</v>
      </c>
      <c r="H65" s="11" t="s">
        <v>366</v>
      </c>
      <c r="I65" s="11" t="s">
        <v>312</v>
      </c>
      <c r="J65" s="11" t="s">
        <v>61</v>
      </c>
      <c r="K65" s="11" t="s">
        <v>227</v>
      </c>
      <c r="L65" s="11" t="s">
        <v>367</v>
      </c>
      <c r="M65" s="13" t="s">
        <v>368</v>
      </c>
      <c r="N65" s="12" t="s">
        <v>369</v>
      </c>
      <c r="O65" s="11"/>
      <c r="P65" s="10" t="str">
        <f aca="false">IF(COUNTIF($M$2:$M$101,M65)&gt;1,"⚠ 重复","唯一")</f>
        <v>唯一</v>
      </c>
    </row>
    <row r="66" customFormat="false" ht="29.85" hidden="false" customHeight="false" outlineLevel="0" collapsed="false">
      <c r="A66" s="10" t="n">
        <v>65</v>
      </c>
      <c r="B66" s="11" t="s">
        <v>370</v>
      </c>
      <c r="C66" s="11" t="s">
        <v>371</v>
      </c>
      <c r="D66" s="10" t="s">
        <v>251</v>
      </c>
      <c r="E66" s="12" t="s">
        <v>118</v>
      </c>
      <c r="F66" s="11" t="s">
        <v>372</v>
      </c>
      <c r="G66" s="10" t="s">
        <v>131</v>
      </c>
      <c r="H66" s="11" t="s">
        <v>43</v>
      </c>
      <c r="I66" s="11" t="s">
        <v>312</v>
      </c>
      <c r="J66" s="11" t="s">
        <v>59</v>
      </c>
      <c r="K66" s="11" t="s">
        <v>45</v>
      </c>
      <c r="L66" s="11" t="s">
        <v>44</v>
      </c>
      <c r="M66" s="13" t="s">
        <v>373</v>
      </c>
      <c r="N66" s="12" t="s">
        <v>54</v>
      </c>
      <c r="O66" s="11"/>
      <c r="P66" s="10" t="str">
        <f aca="false">IF(COUNTIF($M$2:$M$101,M66)&gt;1,"⚠ 重复","唯一")</f>
        <v>唯一</v>
      </c>
    </row>
    <row r="67" customFormat="false" ht="29.85" hidden="false" customHeight="false" outlineLevel="0" collapsed="false">
      <c r="A67" s="10" t="n">
        <v>66</v>
      </c>
      <c r="B67" s="11" t="s">
        <v>374</v>
      </c>
      <c r="C67" s="11" t="s">
        <v>375</v>
      </c>
      <c r="D67" s="10" t="s">
        <v>251</v>
      </c>
      <c r="E67" s="12" t="s">
        <v>118</v>
      </c>
      <c r="F67" s="11" t="s">
        <v>372</v>
      </c>
      <c r="G67" s="10" t="s">
        <v>50</v>
      </c>
      <c r="H67" s="11" t="s">
        <v>155</v>
      </c>
      <c r="I67" s="11" t="s">
        <v>312</v>
      </c>
      <c r="J67" s="11" t="s">
        <v>93</v>
      </c>
      <c r="K67" s="11" t="s">
        <v>68</v>
      </c>
      <c r="L67" s="11" t="s">
        <v>26</v>
      </c>
      <c r="M67" s="13" t="s">
        <v>376</v>
      </c>
      <c r="N67" s="12" t="s">
        <v>38</v>
      </c>
      <c r="O67" s="11"/>
      <c r="P67" s="10" t="str">
        <f aca="false">IF(COUNTIF($M$2:$M$101,M67)&gt;1,"⚠ 重复","唯一")</f>
        <v>唯一</v>
      </c>
    </row>
    <row r="68" customFormat="false" ht="29.85" hidden="false" customHeight="false" outlineLevel="0" collapsed="false">
      <c r="A68" s="10" t="n">
        <v>67</v>
      </c>
      <c r="B68" s="11" t="s">
        <v>377</v>
      </c>
      <c r="C68" s="11" t="s">
        <v>378</v>
      </c>
      <c r="D68" s="10" t="s">
        <v>251</v>
      </c>
      <c r="E68" s="12" t="s">
        <v>118</v>
      </c>
      <c r="F68" s="11" t="s">
        <v>372</v>
      </c>
      <c r="G68" s="10" t="s">
        <v>66</v>
      </c>
      <c r="H68" s="11" t="s">
        <v>43</v>
      </c>
      <c r="I68" s="11" t="s">
        <v>312</v>
      </c>
      <c r="J68" s="11" t="s">
        <v>51</v>
      </c>
      <c r="K68" s="11" t="s">
        <v>67</v>
      </c>
      <c r="L68" s="11" t="s">
        <v>26</v>
      </c>
      <c r="M68" s="13" t="s">
        <v>379</v>
      </c>
      <c r="N68" s="12" t="s">
        <v>54</v>
      </c>
      <c r="O68" s="11"/>
      <c r="P68" s="10" t="str">
        <f aca="false">IF(COUNTIF($M$2:$M$101,M68)&gt;1,"⚠ 重复","唯一")</f>
        <v>唯一</v>
      </c>
    </row>
    <row r="69" customFormat="false" ht="29.85" hidden="false" customHeight="false" outlineLevel="0" collapsed="false">
      <c r="A69" s="10" t="n">
        <v>68</v>
      </c>
      <c r="B69" s="11" t="s">
        <v>380</v>
      </c>
      <c r="C69" s="11" t="s">
        <v>381</v>
      </c>
      <c r="D69" s="10" t="s">
        <v>251</v>
      </c>
      <c r="E69" s="12" t="s">
        <v>118</v>
      </c>
      <c r="F69" s="11" t="s">
        <v>190</v>
      </c>
      <c r="G69" s="10" t="s">
        <v>140</v>
      </c>
      <c r="H69" s="11" t="s">
        <v>92</v>
      </c>
      <c r="I69" s="11" t="s">
        <v>312</v>
      </c>
      <c r="J69" s="11" t="s">
        <v>126</v>
      </c>
      <c r="K69" s="11" t="s">
        <v>24</v>
      </c>
      <c r="L69" s="11" t="s">
        <v>74</v>
      </c>
      <c r="M69" s="13" t="s">
        <v>382</v>
      </c>
      <c r="N69" s="12" t="s">
        <v>88</v>
      </c>
      <c r="O69" s="11"/>
      <c r="P69" s="10" t="str">
        <f aca="false">IF(COUNTIF($M$2:$M$101,M69)&gt;1,"⚠ 重复","唯一")</f>
        <v>唯一</v>
      </c>
    </row>
    <row r="70" customFormat="false" ht="29.85" hidden="false" customHeight="false" outlineLevel="0" collapsed="false">
      <c r="A70" s="10" t="n">
        <v>69</v>
      </c>
      <c r="B70" s="11" t="s">
        <v>383</v>
      </c>
      <c r="C70" s="11" t="s">
        <v>384</v>
      </c>
      <c r="D70" s="10" t="s">
        <v>251</v>
      </c>
      <c r="E70" s="12" t="s">
        <v>118</v>
      </c>
      <c r="F70" s="11" t="s">
        <v>365</v>
      </c>
      <c r="G70" s="10" t="s">
        <v>180</v>
      </c>
      <c r="H70" s="11" t="s">
        <v>385</v>
      </c>
      <c r="I70" s="11" t="s">
        <v>312</v>
      </c>
      <c r="J70" s="11" t="s">
        <v>121</v>
      </c>
      <c r="K70" s="11" t="s">
        <v>93</v>
      </c>
      <c r="L70" s="11" t="s">
        <v>367</v>
      </c>
      <c r="M70" s="13" t="s">
        <v>386</v>
      </c>
      <c r="N70" s="12" t="s">
        <v>387</v>
      </c>
      <c r="O70" s="11"/>
      <c r="P70" s="10" t="str">
        <f aca="false">IF(COUNTIF($M$2:$M$101,M70)&gt;1,"⚠ 重复","唯一")</f>
        <v>唯一</v>
      </c>
    </row>
    <row r="71" customFormat="false" ht="29.85" hidden="false" customHeight="false" outlineLevel="0" collapsed="false">
      <c r="A71" s="10" t="n">
        <v>70</v>
      </c>
      <c r="B71" s="11" t="s">
        <v>388</v>
      </c>
      <c r="C71" s="11" t="s">
        <v>389</v>
      </c>
      <c r="D71" s="10" t="s">
        <v>251</v>
      </c>
      <c r="E71" s="12" t="s">
        <v>118</v>
      </c>
      <c r="F71" s="11" t="s">
        <v>390</v>
      </c>
      <c r="G71" s="10" t="s">
        <v>73</v>
      </c>
      <c r="H71" s="11" t="s">
        <v>196</v>
      </c>
      <c r="I71" s="11" t="s">
        <v>324</v>
      </c>
      <c r="J71" s="11" t="s">
        <v>67</v>
      </c>
      <c r="K71" s="11" t="s">
        <v>35</v>
      </c>
      <c r="L71" s="11" t="s">
        <v>26</v>
      </c>
      <c r="M71" s="13" t="s">
        <v>391</v>
      </c>
      <c r="N71" s="12" t="s">
        <v>198</v>
      </c>
      <c r="O71" s="11"/>
      <c r="P71" s="10" t="str">
        <f aca="false">IF(COUNTIF($M$2:$M$101,M71)&gt;1,"⚠ 重复","唯一")</f>
        <v>唯一</v>
      </c>
    </row>
    <row r="72" customFormat="false" ht="29.85" hidden="false" customHeight="false" outlineLevel="0" collapsed="false">
      <c r="A72" s="10" t="n">
        <v>71</v>
      </c>
      <c r="B72" s="11" t="s">
        <v>392</v>
      </c>
      <c r="C72" s="11" t="s">
        <v>393</v>
      </c>
      <c r="D72" s="10" t="s">
        <v>251</v>
      </c>
      <c r="E72" s="12" t="s">
        <v>118</v>
      </c>
      <c r="F72" s="11" t="s">
        <v>365</v>
      </c>
      <c r="G72" s="10" t="s">
        <v>79</v>
      </c>
      <c r="H72" s="11" t="s">
        <v>33</v>
      </c>
      <c r="I72" s="11" t="s">
        <v>312</v>
      </c>
      <c r="J72" s="11" t="s">
        <v>34</v>
      </c>
      <c r="K72" s="11" t="s">
        <v>262</v>
      </c>
      <c r="L72" s="11" t="s">
        <v>367</v>
      </c>
      <c r="M72" s="13" t="s">
        <v>394</v>
      </c>
      <c r="N72" s="12" t="s">
        <v>38</v>
      </c>
      <c r="O72" s="11"/>
      <c r="P72" s="10" t="str">
        <f aca="false">IF(COUNTIF($M$2:$M$101,M72)&gt;1,"⚠ 重复","唯一")</f>
        <v>唯一</v>
      </c>
    </row>
    <row r="73" customFormat="false" ht="29.85" hidden="false" customHeight="false" outlineLevel="0" collapsed="false">
      <c r="A73" s="10" t="n">
        <v>72</v>
      </c>
      <c r="B73" s="11" t="s">
        <v>395</v>
      </c>
      <c r="C73" s="11" t="s">
        <v>396</v>
      </c>
      <c r="D73" s="10" t="s">
        <v>251</v>
      </c>
      <c r="E73" s="12" t="s">
        <v>118</v>
      </c>
      <c r="F73" s="11" t="s">
        <v>397</v>
      </c>
      <c r="G73" s="10" t="s">
        <v>85</v>
      </c>
      <c r="H73" s="11" t="s">
        <v>334</v>
      </c>
      <c r="I73" s="11" t="s">
        <v>312</v>
      </c>
      <c r="J73" s="11" t="s">
        <v>98</v>
      </c>
      <c r="K73" s="11" t="s">
        <v>142</v>
      </c>
      <c r="L73" s="11" t="s">
        <v>227</v>
      </c>
      <c r="M73" s="13" t="s">
        <v>398</v>
      </c>
      <c r="N73" s="12" t="s">
        <v>121</v>
      </c>
      <c r="O73" s="11"/>
      <c r="P73" s="10" t="str">
        <f aca="false">IF(COUNTIF($M$2:$M$101,M73)&gt;1,"⚠ 重复","唯一")</f>
        <v>唯一</v>
      </c>
    </row>
    <row r="74" customFormat="false" ht="29.85" hidden="false" customHeight="false" outlineLevel="0" collapsed="false">
      <c r="A74" s="2" t="n">
        <v>73</v>
      </c>
      <c r="B74" s="3" t="s">
        <v>399</v>
      </c>
      <c r="C74" s="3" t="s">
        <v>400</v>
      </c>
      <c r="D74" s="2" t="s">
        <v>251</v>
      </c>
      <c r="E74" s="4" t="s">
        <v>293</v>
      </c>
      <c r="F74" s="3" t="s">
        <v>294</v>
      </c>
      <c r="G74" s="2" t="s">
        <v>103</v>
      </c>
      <c r="H74" s="3" t="s">
        <v>110</v>
      </c>
      <c r="I74" s="3" t="s">
        <v>324</v>
      </c>
      <c r="J74" s="3" t="s">
        <v>60</v>
      </c>
      <c r="K74" s="3" t="s">
        <v>112</v>
      </c>
      <c r="L74" s="3" t="s">
        <v>59</v>
      </c>
      <c r="M74" s="5" t="s">
        <v>401</v>
      </c>
      <c r="N74" s="4" t="s">
        <v>353</v>
      </c>
      <c r="O74" s="3" t="s">
        <v>402</v>
      </c>
      <c r="P74" s="2" t="str">
        <f aca="false">IF(COUNTIF($M$2:$M$101,M74)&gt;1,"⚠ 重复","唯一")</f>
        <v>唯一</v>
      </c>
    </row>
    <row r="75" customFormat="false" ht="29.85" hidden="false" customHeight="false" outlineLevel="0" collapsed="false">
      <c r="A75" s="10" t="n">
        <v>74</v>
      </c>
      <c r="B75" s="11" t="s">
        <v>403</v>
      </c>
      <c r="C75" s="11" t="s">
        <v>404</v>
      </c>
      <c r="D75" s="10" t="s">
        <v>251</v>
      </c>
      <c r="E75" s="12" t="s">
        <v>118</v>
      </c>
      <c r="F75" s="11" t="s">
        <v>202</v>
      </c>
      <c r="G75" s="10" t="s">
        <v>109</v>
      </c>
      <c r="H75" s="11" t="s">
        <v>43</v>
      </c>
      <c r="I75" s="11" t="s">
        <v>312</v>
      </c>
      <c r="J75" s="11" t="s">
        <v>24</v>
      </c>
      <c r="K75" s="11" t="s">
        <v>97</v>
      </c>
      <c r="L75" s="11" t="s">
        <v>121</v>
      </c>
      <c r="M75" s="13" t="s">
        <v>405</v>
      </c>
      <c r="N75" s="12" t="s">
        <v>54</v>
      </c>
      <c r="O75" s="11"/>
      <c r="P75" s="10" t="str">
        <f aca="false">IF(COUNTIF($M$2:$M$101,M75)&gt;1,"⚠ 重复","唯一")</f>
        <v>唯一</v>
      </c>
    </row>
    <row r="76" customFormat="false" ht="29.85" hidden="false" customHeight="false" outlineLevel="0" collapsed="false">
      <c r="A76" s="10" t="n">
        <v>75</v>
      </c>
      <c r="B76" s="11" t="s">
        <v>406</v>
      </c>
      <c r="C76" s="11" t="s">
        <v>407</v>
      </c>
      <c r="D76" s="10" t="s">
        <v>251</v>
      </c>
      <c r="E76" s="12" t="s">
        <v>118</v>
      </c>
      <c r="F76" s="11" t="s">
        <v>408</v>
      </c>
      <c r="G76" s="10" t="s">
        <v>21</v>
      </c>
      <c r="H76" s="11" t="s">
        <v>104</v>
      </c>
      <c r="I76" s="11" t="s">
        <v>312</v>
      </c>
      <c r="J76" s="11" t="s">
        <v>34</v>
      </c>
      <c r="K76" s="11" t="s">
        <v>24</v>
      </c>
      <c r="L76" s="11" t="s">
        <v>61</v>
      </c>
      <c r="M76" s="13" t="s">
        <v>409</v>
      </c>
      <c r="N76" s="12" t="s">
        <v>63</v>
      </c>
      <c r="O76" s="11"/>
      <c r="P76" s="10" t="str">
        <f aca="false">IF(COUNTIF($M$2:$M$101,M76)&gt;1,"⚠ 重复","唯一")</f>
        <v>唯一</v>
      </c>
    </row>
    <row r="77" customFormat="false" ht="29.85" hidden="false" customHeight="false" outlineLevel="0" collapsed="false">
      <c r="A77" s="10" t="n">
        <v>76</v>
      </c>
      <c r="B77" s="11" t="s">
        <v>410</v>
      </c>
      <c r="C77" s="11" t="s">
        <v>411</v>
      </c>
      <c r="D77" s="10" t="s">
        <v>251</v>
      </c>
      <c r="E77" s="12" t="s">
        <v>118</v>
      </c>
      <c r="F77" s="11" t="s">
        <v>412</v>
      </c>
      <c r="G77" s="10" t="s">
        <v>32</v>
      </c>
      <c r="H77" s="11" t="s">
        <v>413</v>
      </c>
      <c r="I77" s="11" t="s">
        <v>312</v>
      </c>
      <c r="J77" s="11" t="s">
        <v>45</v>
      </c>
      <c r="K77" s="11" t="s">
        <v>35</v>
      </c>
      <c r="L77" s="11" t="s">
        <v>93</v>
      </c>
      <c r="M77" s="13" t="s">
        <v>414</v>
      </c>
      <c r="N77" s="12" t="s">
        <v>415</v>
      </c>
      <c r="O77" s="11"/>
      <c r="P77" s="10" t="str">
        <f aca="false">IF(COUNTIF($M$2:$M$101,M77)&gt;1,"⚠ 重复","唯一")</f>
        <v>唯一</v>
      </c>
    </row>
    <row r="78" customFormat="false" ht="29.85" hidden="false" customHeight="false" outlineLevel="0" collapsed="false">
      <c r="A78" s="10" t="n">
        <v>77</v>
      </c>
      <c r="B78" s="11" t="s">
        <v>416</v>
      </c>
      <c r="C78" s="11" t="s">
        <v>417</v>
      </c>
      <c r="D78" s="10" t="s">
        <v>251</v>
      </c>
      <c r="E78" s="12" t="s">
        <v>118</v>
      </c>
      <c r="F78" s="11" t="s">
        <v>418</v>
      </c>
      <c r="G78" s="10" t="s">
        <v>131</v>
      </c>
      <c r="H78" s="11" t="s">
        <v>366</v>
      </c>
      <c r="I78" s="11" t="s">
        <v>312</v>
      </c>
      <c r="J78" s="11" t="s">
        <v>132</v>
      </c>
      <c r="K78" s="11" t="s">
        <v>61</v>
      </c>
      <c r="L78" s="11" t="s">
        <v>97</v>
      </c>
      <c r="M78" s="13" t="s">
        <v>419</v>
      </c>
      <c r="N78" s="12" t="s">
        <v>369</v>
      </c>
      <c r="O78" s="11"/>
      <c r="P78" s="10" t="str">
        <f aca="false">IF(COUNTIF($M$2:$M$101,M78)&gt;1,"⚠ 重复","唯一")</f>
        <v>唯一</v>
      </c>
    </row>
    <row r="79" customFormat="false" ht="29.85" hidden="false" customHeight="false" outlineLevel="0" collapsed="false">
      <c r="A79" s="10" t="n">
        <v>78</v>
      </c>
      <c r="B79" s="11" t="s">
        <v>420</v>
      </c>
      <c r="C79" s="11" t="s">
        <v>421</v>
      </c>
      <c r="D79" s="10" t="s">
        <v>251</v>
      </c>
      <c r="E79" s="12" t="s">
        <v>118</v>
      </c>
      <c r="F79" s="11" t="s">
        <v>310</v>
      </c>
      <c r="G79" s="10" t="s">
        <v>50</v>
      </c>
      <c r="H79" s="11" t="s">
        <v>422</v>
      </c>
      <c r="I79" s="11" t="s">
        <v>312</v>
      </c>
      <c r="J79" s="11" t="s">
        <v>93</v>
      </c>
      <c r="K79" s="11" t="s">
        <v>45</v>
      </c>
      <c r="L79" s="11" t="s">
        <v>68</v>
      </c>
      <c r="M79" s="13" t="s">
        <v>423</v>
      </c>
      <c r="N79" s="12" t="s">
        <v>207</v>
      </c>
      <c r="O79" s="11"/>
      <c r="P79" s="10" t="str">
        <f aca="false">IF(COUNTIF($M$2:$M$101,M79)&gt;1,"⚠ 重复","唯一")</f>
        <v>唯一</v>
      </c>
    </row>
    <row r="80" customFormat="false" ht="29.85" hidden="false" customHeight="false" outlineLevel="0" collapsed="false">
      <c r="A80" s="10" t="n">
        <v>79</v>
      </c>
      <c r="B80" s="11" t="s">
        <v>424</v>
      </c>
      <c r="C80" s="11" t="s">
        <v>425</v>
      </c>
      <c r="D80" s="10" t="s">
        <v>251</v>
      </c>
      <c r="E80" s="12" t="s">
        <v>118</v>
      </c>
      <c r="F80" s="11" t="s">
        <v>426</v>
      </c>
      <c r="G80" s="10" t="s">
        <v>79</v>
      </c>
      <c r="H80" s="11" t="s">
        <v>33</v>
      </c>
      <c r="I80" s="11" t="s">
        <v>312</v>
      </c>
      <c r="J80" s="11" t="s">
        <v>35</v>
      </c>
      <c r="K80" s="11" t="s">
        <v>26</v>
      </c>
      <c r="L80" s="11" t="s">
        <v>24</v>
      </c>
      <c r="M80" s="13" t="s">
        <v>427</v>
      </c>
      <c r="N80" s="12" t="s">
        <v>38</v>
      </c>
      <c r="O80" s="11"/>
      <c r="P80" s="10" t="str">
        <f aca="false">IF(COUNTIF($M$2:$M$101,M80)&gt;1,"⚠ 重复","唯一")</f>
        <v>唯一</v>
      </c>
    </row>
    <row r="81" customFormat="false" ht="29.85" hidden="false" customHeight="false" outlineLevel="0" collapsed="false">
      <c r="A81" s="10" t="n">
        <v>80</v>
      </c>
      <c r="B81" s="11" t="s">
        <v>428</v>
      </c>
      <c r="C81" s="11" t="s">
        <v>429</v>
      </c>
      <c r="D81" s="10" t="s">
        <v>251</v>
      </c>
      <c r="E81" s="12" t="s">
        <v>118</v>
      </c>
      <c r="F81" s="11" t="s">
        <v>430</v>
      </c>
      <c r="G81" s="10" t="s">
        <v>85</v>
      </c>
      <c r="H81" s="11" t="s">
        <v>196</v>
      </c>
      <c r="I81" s="11" t="s">
        <v>324</v>
      </c>
      <c r="J81" s="11" t="s">
        <v>67</v>
      </c>
      <c r="K81" s="11" t="s">
        <v>24</v>
      </c>
      <c r="L81" s="11" t="s">
        <v>45</v>
      </c>
      <c r="M81" s="13" t="s">
        <v>431</v>
      </c>
      <c r="N81" s="12" t="s">
        <v>198</v>
      </c>
      <c r="O81" s="11"/>
      <c r="P81" s="10" t="str">
        <f aca="false">IF(COUNTIF($M$2:$M$101,M81)&gt;1,"⚠ 重复","唯一")</f>
        <v>唯一</v>
      </c>
    </row>
    <row r="82" customFormat="false" ht="29.85" hidden="false" customHeight="false" outlineLevel="0" collapsed="false">
      <c r="A82" s="10" t="n">
        <v>81</v>
      </c>
      <c r="B82" s="11" t="s">
        <v>432</v>
      </c>
      <c r="C82" s="11" t="s">
        <v>433</v>
      </c>
      <c r="D82" s="10" t="s">
        <v>251</v>
      </c>
      <c r="E82" s="12" t="s">
        <v>118</v>
      </c>
      <c r="F82" s="11" t="s">
        <v>434</v>
      </c>
      <c r="G82" s="10" t="s">
        <v>66</v>
      </c>
      <c r="H82" s="11" t="s">
        <v>43</v>
      </c>
      <c r="I82" s="11" t="s">
        <v>312</v>
      </c>
      <c r="J82" s="11" t="s">
        <v>51</v>
      </c>
      <c r="K82" s="11" t="s">
        <v>35</v>
      </c>
      <c r="L82" s="11" t="s">
        <v>262</v>
      </c>
      <c r="M82" s="13" t="s">
        <v>435</v>
      </c>
      <c r="N82" s="12" t="s">
        <v>54</v>
      </c>
      <c r="O82" s="11"/>
      <c r="P82" s="10" t="str">
        <f aca="false">IF(COUNTIF($M$2:$M$101,M82)&gt;1,"⚠ 重复","唯一")</f>
        <v>唯一</v>
      </c>
    </row>
    <row r="83" customFormat="false" ht="29.85" hidden="false" customHeight="false" outlineLevel="0" collapsed="false">
      <c r="A83" s="10" t="n">
        <v>82</v>
      </c>
      <c r="B83" s="11" t="s">
        <v>436</v>
      </c>
      <c r="C83" s="11" t="s">
        <v>437</v>
      </c>
      <c r="D83" s="10" t="s">
        <v>251</v>
      </c>
      <c r="E83" s="12" t="s">
        <v>118</v>
      </c>
      <c r="F83" s="11" t="s">
        <v>438</v>
      </c>
      <c r="G83" s="10" t="s">
        <v>140</v>
      </c>
      <c r="H83" s="11" t="s">
        <v>33</v>
      </c>
      <c r="I83" s="11" t="s">
        <v>312</v>
      </c>
      <c r="J83" s="11" t="s">
        <v>97</v>
      </c>
      <c r="K83" s="11" t="s">
        <v>24</v>
      </c>
      <c r="L83" s="11" t="s">
        <v>67</v>
      </c>
      <c r="M83" s="13" t="s">
        <v>439</v>
      </c>
      <c r="N83" s="12" t="s">
        <v>38</v>
      </c>
      <c r="O83" s="11"/>
      <c r="P83" s="10" t="str">
        <f aca="false">IF(COUNTIF($M$2:$M$101,M83)&gt;1,"⚠ 重复","唯一")</f>
        <v>唯一</v>
      </c>
    </row>
    <row r="84" customFormat="false" ht="29.85" hidden="false" customHeight="false" outlineLevel="0" collapsed="false">
      <c r="A84" s="10" t="n">
        <v>83</v>
      </c>
      <c r="B84" s="11" t="s">
        <v>440</v>
      </c>
      <c r="C84" s="11" t="s">
        <v>441</v>
      </c>
      <c r="D84" s="10" t="s">
        <v>251</v>
      </c>
      <c r="E84" s="12" t="s">
        <v>118</v>
      </c>
      <c r="F84" s="11" t="s">
        <v>442</v>
      </c>
      <c r="G84" s="10" t="s">
        <v>131</v>
      </c>
      <c r="H84" s="11" t="s">
        <v>43</v>
      </c>
      <c r="I84" s="11" t="s">
        <v>312</v>
      </c>
      <c r="J84" s="11" t="s">
        <v>44</v>
      </c>
      <c r="K84" s="11" t="s">
        <v>45</v>
      </c>
      <c r="L84" s="11" t="s">
        <v>26</v>
      </c>
      <c r="M84" s="13" t="s">
        <v>443</v>
      </c>
      <c r="N84" s="12" t="s">
        <v>54</v>
      </c>
      <c r="O84" s="11"/>
      <c r="P84" s="10" t="str">
        <f aca="false">IF(COUNTIF($M$2:$M$101,M84)&gt;1,"⚠ 重复","唯一")</f>
        <v>唯一</v>
      </c>
    </row>
    <row r="85" customFormat="false" ht="29.85" hidden="false" customHeight="false" outlineLevel="0" collapsed="false">
      <c r="A85" s="2" t="n">
        <v>84</v>
      </c>
      <c r="B85" s="3" t="s">
        <v>444</v>
      </c>
      <c r="C85" s="3" t="s">
        <v>445</v>
      </c>
      <c r="D85" s="2" t="s">
        <v>251</v>
      </c>
      <c r="E85" s="4" t="s">
        <v>118</v>
      </c>
      <c r="F85" s="3" t="s">
        <v>322</v>
      </c>
      <c r="G85" s="2" t="s">
        <v>180</v>
      </c>
      <c r="H85" s="3" t="s">
        <v>446</v>
      </c>
      <c r="I85" s="3" t="s">
        <v>324</v>
      </c>
      <c r="J85" s="3" t="s">
        <v>45</v>
      </c>
      <c r="K85" s="3" t="s">
        <v>35</v>
      </c>
      <c r="L85" s="3" t="s">
        <v>112</v>
      </c>
      <c r="M85" s="5" t="s">
        <v>447</v>
      </c>
      <c r="N85" s="4" t="s">
        <v>448</v>
      </c>
      <c r="O85" s="3" t="s">
        <v>449</v>
      </c>
      <c r="P85" s="2" t="str">
        <f aca="false">IF(COUNTIF($M$2:$M$101,M85)&gt;1,"⚠ 重复","唯一")</f>
        <v>唯一</v>
      </c>
    </row>
    <row r="86" customFormat="false" ht="29.85" hidden="false" customHeight="false" outlineLevel="0" collapsed="false">
      <c r="A86" s="10" t="n">
        <v>85</v>
      </c>
      <c r="B86" s="11" t="s">
        <v>450</v>
      </c>
      <c r="C86" s="11" t="s">
        <v>451</v>
      </c>
      <c r="D86" s="10" t="s">
        <v>251</v>
      </c>
      <c r="E86" s="12" t="s">
        <v>118</v>
      </c>
      <c r="F86" s="11" t="s">
        <v>452</v>
      </c>
      <c r="G86" s="10" t="s">
        <v>73</v>
      </c>
      <c r="H86" s="11" t="s">
        <v>33</v>
      </c>
      <c r="I86" s="11" t="s">
        <v>312</v>
      </c>
      <c r="J86" s="11" t="s">
        <v>97</v>
      </c>
      <c r="K86" s="11" t="s">
        <v>34</v>
      </c>
      <c r="L86" s="11" t="s">
        <v>132</v>
      </c>
      <c r="M86" s="13" t="s">
        <v>453</v>
      </c>
      <c r="N86" s="12" t="s">
        <v>38</v>
      </c>
      <c r="O86" s="11"/>
      <c r="P86" s="10" t="str">
        <f aca="false">IF(COUNTIF($M$2:$M$101,M86)&gt;1,"⚠ 重复","唯一")</f>
        <v>唯一</v>
      </c>
    </row>
    <row r="87" customFormat="false" ht="29.85" hidden="false" customHeight="false" outlineLevel="0" collapsed="false">
      <c r="A87" s="10" t="n">
        <v>86</v>
      </c>
      <c r="B87" s="11" t="s">
        <v>454</v>
      </c>
      <c r="C87" s="11" t="s">
        <v>455</v>
      </c>
      <c r="D87" s="10" t="s">
        <v>251</v>
      </c>
      <c r="E87" s="12" t="s">
        <v>118</v>
      </c>
      <c r="F87" s="11" t="s">
        <v>210</v>
      </c>
      <c r="G87" s="10" t="s">
        <v>140</v>
      </c>
      <c r="H87" s="11" t="s">
        <v>456</v>
      </c>
      <c r="I87" s="11" t="s">
        <v>312</v>
      </c>
      <c r="J87" s="11" t="s">
        <v>61</v>
      </c>
      <c r="K87" s="11" t="s">
        <v>132</v>
      </c>
      <c r="L87" s="11" t="s">
        <v>59</v>
      </c>
      <c r="M87" s="13" t="s">
        <v>457</v>
      </c>
      <c r="N87" s="12" t="s">
        <v>458</v>
      </c>
      <c r="O87" s="11"/>
      <c r="P87" s="10" t="str">
        <f aca="false">IF(COUNTIF($M$2:$M$101,M87)&gt;1,"⚠ 重复","唯一")</f>
        <v>唯一</v>
      </c>
    </row>
    <row r="88" customFormat="false" ht="29.85" hidden="false" customHeight="false" outlineLevel="0" collapsed="false">
      <c r="A88" s="10" t="n">
        <v>87</v>
      </c>
      <c r="B88" s="11" t="s">
        <v>459</v>
      </c>
      <c r="C88" s="11" t="s">
        <v>460</v>
      </c>
      <c r="D88" s="10" t="s">
        <v>251</v>
      </c>
      <c r="E88" s="12" t="s">
        <v>118</v>
      </c>
      <c r="F88" s="11" t="s">
        <v>108</v>
      </c>
      <c r="G88" s="10" t="s">
        <v>180</v>
      </c>
      <c r="H88" s="11" t="s">
        <v>43</v>
      </c>
      <c r="I88" s="11" t="s">
        <v>312</v>
      </c>
      <c r="J88" s="11" t="s">
        <v>51</v>
      </c>
      <c r="K88" s="11" t="s">
        <v>61</v>
      </c>
      <c r="L88" s="11" t="s">
        <v>262</v>
      </c>
      <c r="M88" s="13" t="s">
        <v>461</v>
      </c>
      <c r="N88" s="12" t="s">
        <v>54</v>
      </c>
      <c r="O88" s="11"/>
      <c r="P88" s="10" t="str">
        <f aca="false">IF(COUNTIF($M$2:$M$101,M88)&gt;1,"⚠ 重复","唯一")</f>
        <v>唯一</v>
      </c>
    </row>
    <row r="89" customFormat="false" ht="29.85" hidden="false" customHeight="false" outlineLevel="0" collapsed="false">
      <c r="A89" s="10" t="n">
        <v>88</v>
      </c>
      <c r="B89" s="11" t="s">
        <v>462</v>
      </c>
      <c r="C89" s="11" t="s">
        <v>463</v>
      </c>
      <c r="D89" s="10" t="s">
        <v>251</v>
      </c>
      <c r="E89" s="12" t="s">
        <v>118</v>
      </c>
      <c r="F89" s="11" t="s">
        <v>442</v>
      </c>
      <c r="G89" s="10" t="s">
        <v>73</v>
      </c>
      <c r="H89" s="11" t="s">
        <v>339</v>
      </c>
      <c r="I89" s="11" t="s">
        <v>312</v>
      </c>
      <c r="J89" s="11" t="s">
        <v>44</v>
      </c>
      <c r="K89" s="11" t="s">
        <v>45</v>
      </c>
      <c r="L89" s="11" t="s">
        <v>26</v>
      </c>
      <c r="M89" s="13" t="s">
        <v>464</v>
      </c>
      <c r="N89" s="12" t="s">
        <v>341</v>
      </c>
      <c r="O89" s="11"/>
      <c r="P89" s="10" t="str">
        <f aca="false">IF(COUNTIF($M$2:$M$101,M89)&gt;1,"⚠ 重复","唯一")</f>
        <v>唯一</v>
      </c>
    </row>
    <row r="90" customFormat="false" ht="29.85" hidden="false" customHeight="false" outlineLevel="0" collapsed="false">
      <c r="A90" s="10" t="n">
        <v>89</v>
      </c>
      <c r="B90" s="11" t="s">
        <v>465</v>
      </c>
      <c r="C90" s="11" t="s">
        <v>466</v>
      </c>
      <c r="D90" s="10" t="s">
        <v>251</v>
      </c>
      <c r="E90" s="12" t="s">
        <v>118</v>
      </c>
      <c r="F90" s="11" t="s">
        <v>322</v>
      </c>
      <c r="G90" s="10" t="s">
        <v>79</v>
      </c>
      <c r="H90" s="11" t="s">
        <v>467</v>
      </c>
      <c r="I90" s="11" t="s">
        <v>324</v>
      </c>
      <c r="J90" s="11" t="s">
        <v>45</v>
      </c>
      <c r="K90" s="11" t="s">
        <v>93</v>
      </c>
      <c r="L90" s="11" t="s">
        <v>112</v>
      </c>
      <c r="M90" s="13" t="s">
        <v>468</v>
      </c>
      <c r="N90" s="12" t="s">
        <v>469</v>
      </c>
      <c r="O90" s="11"/>
      <c r="P90" s="10" t="str">
        <f aca="false">IF(COUNTIF($M$2:$M$101,M90)&gt;1,"⚠ 重复","唯一")</f>
        <v>唯一</v>
      </c>
    </row>
    <row r="91" customFormat="false" ht="29.85" hidden="false" customHeight="false" outlineLevel="0" collapsed="false">
      <c r="A91" s="2" t="n">
        <v>90</v>
      </c>
      <c r="B91" s="3" t="s">
        <v>470</v>
      </c>
      <c r="C91" s="3" t="s">
        <v>471</v>
      </c>
      <c r="D91" s="2" t="s">
        <v>251</v>
      </c>
      <c r="E91" s="4" t="s">
        <v>293</v>
      </c>
      <c r="F91" s="3" t="s">
        <v>472</v>
      </c>
      <c r="G91" s="2" t="s">
        <v>473</v>
      </c>
      <c r="H91" s="3" t="s">
        <v>196</v>
      </c>
      <c r="I91" s="3" t="s">
        <v>324</v>
      </c>
      <c r="J91" s="3" t="s">
        <v>51</v>
      </c>
      <c r="K91" s="3" t="s">
        <v>367</v>
      </c>
      <c r="L91" s="3" t="s">
        <v>26</v>
      </c>
      <c r="M91" s="5" t="s">
        <v>474</v>
      </c>
      <c r="N91" s="4" t="s">
        <v>198</v>
      </c>
      <c r="O91" s="3" t="s">
        <v>475</v>
      </c>
      <c r="P91" s="2" t="str">
        <f aca="false">IF(COUNTIF($M$2:$M$101,M91)&gt;1,"⚠ 重复","唯一")</f>
        <v>唯一</v>
      </c>
    </row>
    <row r="92" customFormat="false" ht="29.85" hidden="false" customHeight="false" outlineLevel="0" collapsed="false">
      <c r="A92" s="2" t="n">
        <v>91</v>
      </c>
      <c r="B92" s="3" t="s">
        <v>476</v>
      </c>
      <c r="C92" s="3" t="s">
        <v>477</v>
      </c>
      <c r="D92" s="2" t="s">
        <v>478</v>
      </c>
      <c r="E92" s="4" t="s">
        <v>293</v>
      </c>
      <c r="F92" s="3" t="s">
        <v>479</v>
      </c>
      <c r="G92" s="2" t="s">
        <v>103</v>
      </c>
      <c r="H92" s="3" t="s">
        <v>480</v>
      </c>
      <c r="I92" s="3" t="s">
        <v>481</v>
      </c>
      <c r="J92" s="3" t="s">
        <v>93</v>
      </c>
      <c r="K92" s="3" t="s">
        <v>112</v>
      </c>
      <c r="L92" s="3" t="s">
        <v>132</v>
      </c>
      <c r="M92" s="5" t="s">
        <v>482</v>
      </c>
      <c r="N92" s="4" t="s">
        <v>114</v>
      </c>
      <c r="O92" s="3" t="s">
        <v>483</v>
      </c>
      <c r="P92" s="2" t="str">
        <f aca="false">IF(COUNTIF($M$2:$M$101,M92)&gt;1,"⚠ 重复","唯一")</f>
        <v>唯一</v>
      </c>
    </row>
    <row r="93" customFormat="false" ht="29.85" hidden="false" customHeight="false" outlineLevel="0" collapsed="false">
      <c r="A93" s="14" t="n">
        <v>92</v>
      </c>
      <c r="B93" s="15" t="s">
        <v>484</v>
      </c>
      <c r="C93" s="15" t="s">
        <v>485</v>
      </c>
      <c r="D93" s="14" t="s">
        <v>478</v>
      </c>
      <c r="E93" s="16" t="s">
        <v>118</v>
      </c>
      <c r="F93" s="15" t="s">
        <v>486</v>
      </c>
      <c r="G93" s="14" t="s">
        <v>109</v>
      </c>
      <c r="H93" s="15" t="s">
        <v>323</v>
      </c>
      <c r="I93" s="15" t="s">
        <v>324</v>
      </c>
      <c r="J93" s="15" t="s">
        <v>112</v>
      </c>
      <c r="K93" s="15" t="s">
        <v>97</v>
      </c>
      <c r="L93" s="15" t="s">
        <v>60</v>
      </c>
      <c r="M93" s="17" t="s">
        <v>487</v>
      </c>
      <c r="N93" s="16" t="s">
        <v>157</v>
      </c>
      <c r="O93" s="15"/>
      <c r="P93" s="14" t="str">
        <f aca="false">IF(COUNTIF($M$2:$M$101,M93)&gt;1,"⚠ 重复","唯一")</f>
        <v>唯一</v>
      </c>
    </row>
    <row r="94" customFormat="false" ht="29.85" hidden="false" customHeight="false" outlineLevel="0" collapsed="false">
      <c r="A94" s="14" t="n">
        <v>93</v>
      </c>
      <c r="B94" s="15" t="s">
        <v>488</v>
      </c>
      <c r="C94" s="15" t="s">
        <v>489</v>
      </c>
      <c r="D94" s="14" t="s">
        <v>478</v>
      </c>
      <c r="E94" s="16" t="s">
        <v>118</v>
      </c>
      <c r="F94" s="15" t="s">
        <v>490</v>
      </c>
      <c r="G94" s="14" t="s">
        <v>21</v>
      </c>
      <c r="H94" s="15" t="s">
        <v>491</v>
      </c>
      <c r="I94" s="15" t="s">
        <v>312</v>
      </c>
      <c r="J94" s="15" t="s">
        <v>44</v>
      </c>
      <c r="K94" s="15" t="s">
        <v>59</v>
      </c>
      <c r="L94" s="15" t="s">
        <v>367</v>
      </c>
      <c r="M94" s="17" t="s">
        <v>492</v>
      </c>
      <c r="N94" s="16" t="s">
        <v>493</v>
      </c>
      <c r="O94" s="15"/>
      <c r="P94" s="14" t="str">
        <f aca="false">IF(COUNTIF($M$2:$M$101,M94)&gt;1,"⚠ 重复","唯一")</f>
        <v>唯一</v>
      </c>
    </row>
    <row r="95" customFormat="false" ht="29.85" hidden="false" customHeight="false" outlineLevel="0" collapsed="false">
      <c r="A95" s="14" t="n">
        <v>94</v>
      </c>
      <c r="B95" s="15" t="s">
        <v>494</v>
      </c>
      <c r="C95" s="15" t="s">
        <v>495</v>
      </c>
      <c r="D95" s="14" t="s">
        <v>478</v>
      </c>
      <c r="E95" s="16" t="s">
        <v>118</v>
      </c>
      <c r="F95" s="15" t="s">
        <v>486</v>
      </c>
      <c r="G95" s="14" t="s">
        <v>32</v>
      </c>
      <c r="H95" s="15" t="s">
        <v>446</v>
      </c>
      <c r="I95" s="15" t="s">
        <v>324</v>
      </c>
      <c r="J95" s="15" t="s">
        <v>67</v>
      </c>
      <c r="K95" s="15" t="s">
        <v>112</v>
      </c>
      <c r="L95" s="15" t="s">
        <v>367</v>
      </c>
      <c r="M95" s="17" t="s">
        <v>496</v>
      </c>
      <c r="N95" s="16" t="s">
        <v>448</v>
      </c>
      <c r="O95" s="15"/>
      <c r="P95" s="14" t="str">
        <f aca="false">IF(COUNTIF($M$2:$M$101,M95)&gt;1,"⚠ 重复","唯一")</f>
        <v>唯一</v>
      </c>
    </row>
    <row r="96" customFormat="false" ht="29.85" hidden="false" customHeight="false" outlineLevel="0" collapsed="false">
      <c r="A96" s="14" t="n">
        <v>95</v>
      </c>
      <c r="B96" s="15" t="s">
        <v>497</v>
      </c>
      <c r="C96" s="15" t="s">
        <v>498</v>
      </c>
      <c r="D96" s="14" t="s">
        <v>478</v>
      </c>
      <c r="E96" s="16" t="s">
        <v>118</v>
      </c>
      <c r="F96" s="15" t="s">
        <v>499</v>
      </c>
      <c r="G96" s="14" t="s">
        <v>131</v>
      </c>
      <c r="H96" s="15" t="s">
        <v>500</v>
      </c>
      <c r="I96" s="15" t="s">
        <v>324</v>
      </c>
      <c r="J96" s="15" t="s">
        <v>367</v>
      </c>
      <c r="K96" s="15" t="s">
        <v>60</v>
      </c>
      <c r="L96" s="15" t="s">
        <v>67</v>
      </c>
      <c r="M96" s="17" t="s">
        <v>501</v>
      </c>
      <c r="N96" s="16" t="s">
        <v>502</v>
      </c>
      <c r="O96" s="15"/>
      <c r="P96" s="14" t="str">
        <f aca="false">IF(COUNTIF($M$2:$M$101,M96)&gt;1,"⚠ 重复","唯一")</f>
        <v>唯一</v>
      </c>
    </row>
    <row r="97" customFormat="false" ht="29.85" hidden="false" customHeight="false" outlineLevel="0" collapsed="false">
      <c r="A97" s="14" t="n">
        <v>96</v>
      </c>
      <c r="B97" s="15" t="s">
        <v>503</v>
      </c>
      <c r="C97" s="15" t="s">
        <v>504</v>
      </c>
      <c r="D97" s="14" t="s">
        <v>478</v>
      </c>
      <c r="E97" s="16" t="s">
        <v>118</v>
      </c>
      <c r="F97" s="15" t="s">
        <v>505</v>
      </c>
      <c r="G97" s="14" t="s">
        <v>50</v>
      </c>
      <c r="H97" s="15" t="s">
        <v>33</v>
      </c>
      <c r="I97" s="15" t="s">
        <v>312</v>
      </c>
      <c r="J97" s="15" t="s">
        <v>34</v>
      </c>
      <c r="K97" s="15" t="s">
        <v>35</v>
      </c>
      <c r="L97" s="15" t="s">
        <v>67</v>
      </c>
      <c r="M97" s="17" t="s">
        <v>506</v>
      </c>
      <c r="N97" s="16" t="s">
        <v>38</v>
      </c>
      <c r="O97" s="15"/>
      <c r="P97" s="14" t="str">
        <f aca="false">IF(COUNTIF($M$2:$M$101,M97)&gt;1,"⚠ 重复","唯一")</f>
        <v>唯一</v>
      </c>
    </row>
    <row r="98" customFormat="false" ht="29.85" hidden="false" customHeight="false" outlineLevel="0" collapsed="false">
      <c r="A98" s="14" t="n">
        <v>97</v>
      </c>
      <c r="B98" s="15" t="s">
        <v>507</v>
      </c>
      <c r="C98" s="15" t="s">
        <v>508</v>
      </c>
      <c r="D98" s="14" t="s">
        <v>478</v>
      </c>
      <c r="E98" s="16" t="s">
        <v>118</v>
      </c>
      <c r="F98" s="15" t="s">
        <v>509</v>
      </c>
      <c r="G98" s="14" t="s">
        <v>140</v>
      </c>
      <c r="H98" s="15" t="s">
        <v>510</v>
      </c>
      <c r="I98" s="15" t="s">
        <v>312</v>
      </c>
      <c r="J98" s="15" t="s">
        <v>59</v>
      </c>
      <c r="K98" s="15" t="s">
        <v>112</v>
      </c>
      <c r="L98" s="15" t="s">
        <v>26</v>
      </c>
      <c r="M98" s="17" t="s">
        <v>511</v>
      </c>
      <c r="N98" s="16" t="s">
        <v>207</v>
      </c>
      <c r="O98" s="15"/>
      <c r="P98" s="14" t="str">
        <f aca="false">IF(COUNTIF($M$2:$M$101,M98)&gt;1,"⚠ 重复","唯一")</f>
        <v>唯一</v>
      </c>
    </row>
    <row r="99" customFormat="false" ht="29.85" hidden="false" customHeight="false" outlineLevel="0" collapsed="false">
      <c r="A99" s="14" t="n">
        <v>98</v>
      </c>
      <c r="B99" s="15" t="s">
        <v>512</v>
      </c>
      <c r="C99" s="15" t="s">
        <v>513</v>
      </c>
      <c r="D99" s="14" t="s">
        <v>478</v>
      </c>
      <c r="E99" s="16" t="s">
        <v>118</v>
      </c>
      <c r="F99" s="15" t="s">
        <v>514</v>
      </c>
      <c r="G99" s="14" t="s">
        <v>180</v>
      </c>
      <c r="H99" s="15" t="s">
        <v>515</v>
      </c>
      <c r="I99" s="15" t="s">
        <v>324</v>
      </c>
      <c r="J99" s="15" t="s">
        <v>45</v>
      </c>
      <c r="K99" s="15" t="s">
        <v>35</v>
      </c>
      <c r="L99" s="15" t="s">
        <v>112</v>
      </c>
      <c r="M99" s="17" t="s">
        <v>516</v>
      </c>
      <c r="N99" s="16" t="s">
        <v>517</v>
      </c>
      <c r="O99" s="15"/>
      <c r="P99" s="14" t="str">
        <f aca="false">IF(COUNTIF($M$2:$M$101,M99)&gt;1,"⚠ 重复","唯一")</f>
        <v>唯一</v>
      </c>
    </row>
    <row r="100" customFormat="false" ht="29.85" hidden="false" customHeight="false" outlineLevel="0" collapsed="false">
      <c r="A100" s="14" t="n">
        <v>99</v>
      </c>
      <c r="B100" s="15" t="s">
        <v>518</v>
      </c>
      <c r="C100" s="15" t="s">
        <v>519</v>
      </c>
      <c r="D100" s="14" t="s">
        <v>478</v>
      </c>
      <c r="E100" s="16" t="s">
        <v>118</v>
      </c>
      <c r="F100" s="15" t="s">
        <v>520</v>
      </c>
      <c r="G100" s="14" t="s">
        <v>73</v>
      </c>
      <c r="H100" s="15" t="s">
        <v>422</v>
      </c>
      <c r="I100" s="15" t="s">
        <v>312</v>
      </c>
      <c r="J100" s="15" t="s">
        <v>51</v>
      </c>
      <c r="K100" s="15" t="s">
        <v>98</v>
      </c>
      <c r="L100" s="15" t="s">
        <v>112</v>
      </c>
      <c r="M100" s="17" t="s">
        <v>521</v>
      </c>
      <c r="N100" s="16" t="s">
        <v>522</v>
      </c>
      <c r="O100" s="15"/>
      <c r="P100" s="14" t="str">
        <f aca="false">IF(COUNTIF($M$2:$M$101,M100)&gt;1,"⚠ 重复","唯一")</f>
        <v>唯一</v>
      </c>
    </row>
    <row r="101" customFormat="false" ht="29.85" hidden="false" customHeight="false" outlineLevel="0" collapsed="false">
      <c r="A101" s="2" t="n">
        <v>100</v>
      </c>
      <c r="B101" s="3" t="s">
        <v>523</v>
      </c>
      <c r="C101" s="3" t="s">
        <v>524</v>
      </c>
      <c r="D101" s="2" t="s">
        <v>478</v>
      </c>
      <c r="E101" s="4" t="s">
        <v>293</v>
      </c>
      <c r="F101" s="3" t="s">
        <v>525</v>
      </c>
      <c r="G101" s="2" t="s">
        <v>79</v>
      </c>
      <c r="H101" s="3" t="s">
        <v>526</v>
      </c>
      <c r="I101" s="3" t="s">
        <v>527</v>
      </c>
      <c r="J101" s="3" t="s">
        <v>26</v>
      </c>
      <c r="K101" s="3" t="s">
        <v>98</v>
      </c>
      <c r="L101" s="3" t="s">
        <v>61</v>
      </c>
      <c r="M101" s="5" t="s">
        <v>528</v>
      </c>
      <c r="N101" s="4" t="s">
        <v>529</v>
      </c>
      <c r="O101" s="3" t="s">
        <v>530</v>
      </c>
      <c r="P101" s="2" t="str">
        <f aca="false">IF(COUNTIF($M$2:$M$101,M101)&gt;1,"⚠ 重复","唯一")</f>
        <v>唯一</v>
      </c>
    </row>
  </sheetData>
  <autoFilter ref="A1:P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1" t="s">
        <v>531</v>
      </c>
      <c r="B1" s="1" t="s">
        <v>532</v>
      </c>
      <c r="C1" s="1" t="s">
        <v>533</v>
      </c>
      <c r="D1" s="1" t="s">
        <v>534</v>
      </c>
    </row>
    <row r="2" customFormat="false" ht="15" hidden="false" customHeight="false" outlineLevel="0" collapsed="false">
      <c r="A2" s="7" t="s">
        <v>142</v>
      </c>
      <c r="B2" s="6" t="n">
        <f aca="false">COUNTIF(前100篇台账!$J$2:$L$101,A2)</f>
        <v>3</v>
      </c>
      <c r="C2" s="18" t="n">
        <f aca="false">B2/300</f>
        <v>0.01</v>
      </c>
      <c r="D2" s="7" t="s">
        <v>535</v>
      </c>
    </row>
    <row r="3" customFormat="false" ht="15" hidden="false" customHeight="false" outlineLevel="0" collapsed="false">
      <c r="A3" s="7" t="s">
        <v>93</v>
      </c>
      <c r="B3" s="6" t="n">
        <f aca="false">COUNTIF(前100篇台账!$J$2:$L$101,A3)</f>
        <v>28</v>
      </c>
      <c r="C3" s="18" t="n">
        <f aca="false">B3/300</f>
        <v>0.0933333333333333</v>
      </c>
      <c r="D3" s="7" t="s">
        <v>535</v>
      </c>
    </row>
    <row r="4" customFormat="false" ht="15" hidden="false" customHeight="false" outlineLevel="0" collapsed="false">
      <c r="A4" s="7" t="s">
        <v>132</v>
      </c>
      <c r="B4" s="6" t="n">
        <f aca="false">COUNTIF(前100篇台账!$J$2:$L$101,A4)</f>
        <v>9</v>
      </c>
      <c r="C4" s="18" t="n">
        <f aca="false">B4/300</f>
        <v>0.03</v>
      </c>
      <c r="D4" s="7" t="s">
        <v>535</v>
      </c>
    </row>
    <row r="5" customFormat="false" ht="15" hidden="false" customHeight="false" outlineLevel="0" collapsed="false">
      <c r="A5" s="7" t="s">
        <v>34</v>
      </c>
      <c r="B5" s="6" t="n">
        <f aca="false">COUNTIF(前100篇台账!$J$2:$L$101,A5)</f>
        <v>11</v>
      </c>
      <c r="C5" s="18" t="n">
        <f aca="false">B5/300</f>
        <v>0.0366666666666667</v>
      </c>
      <c r="D5" s="7" t="s">
        <v>535</v>
      </c>
    </row>
    <row r="6" customFormat="false" ht="15" hidden="false" customHeight="false" outlineLevel="0" collapsed="false">
      <c r="A6" s="7" t="s">
        <v>141</v>
      </c>
      <c r="B6" s="6" t="n">
        <f aca="false">COUNTIF(前100篇台账!$J$2:$L$101,A6)</f>
        <v>2</v>
      </c>
      <c r="C6" s="18" t="n">
        <f aca="false">B6/300</f>
        <v>0.00666666666666667</v>
      </c>
      <c r="D6" s="7" t="s">
        <v>535</v>
      </c>
    </row>
    <row r="7" customFormat="false" ht="15" hidden="false" customHeight="false" outlineLevel="0" collapsed="false">
      <c r="A7" s="7" t="s">
        <v>45</v>
      </c>
      <c r="B7" s="6" t="n">
        <f aca="false">COUNTIF(前100篇台账!$J$2:$L$101,A7)</f>
        <v>20</v>
      </c>
      <c r="C7" s="18" t="n">
        <f aca="false">B7/300</f>
        <v>0.0666666666666667</v>
      </c>
      <c r="D7" s="7" t="s">
        <v>535</v>
      </c>
    </row>
    <row r="8" customFormat="false" ht="15" hidden="false" customHeight="false" outlineLevel="0" collapsed="false">
      <c r="A8" s="7" t="s">
        <v>112</v>
      </c>
      <c r="B8" s="6" t="n">
        <f aca="false">COUNTIF(前100篇台账!$J$2:$L$101,A8)</f>
        <v>15</v>
      </c>
      <c r="C8" s="18" t="n">
        <f aca="false">B8/300</f>
        <v>0.05</v>
      </c>
      <c r="D8" s="7" t="s">
        <v>535</v>
      </c>
    </row>
    <row r="9" customFormat="false" ht="15" hidden="false" customHeight="false" outlineLevel="0" collapsed="false">
      <c r="A9" s="7" t="s">
        <v>225</v>
      </c>
      <c r="B9" s="6" t="n">
        <f aca="false">COUNTIF(前100篇台账!$J$2:$L$101,A9)</f>
        <v>1</v>
      </c>
      <c r="C9" s="18" t="n">
        <f aca="false">B9/300</f>
        <v>0.00333333333333333</v>
      </c>
      <c r="D9" s="7" t="s">
        <v>535</v>
      </c>
    </row>
    <row r="10" customFormat="false" ht="15" hidden="false" customHeight="false" outlineLevel="0" collapsed="false">
      <c r="A10" s="7" t="s">
        <v>60</v>
      </c>
      <c r="B10" s="6" t="n">
        <f aca="false">COUNTIF(前100篇台账!$J$2:$L$101,A10)</f>
        <v>8</v>
      </c>
      <c r="C10" s="18" t="n">
        <f aca="false">B10/300</f>
        <v>0.0266666666666667</v>
      </c>
      <c r="D10" s="7" t="s">
        <v>535</v>
      </c>
    </row>
    <row r="11" customFormat="false" ht="15" hidden="false" customHeight="false" outlineLevel="0" collapsed="false">
      <c r="A11" s="7" t="s">
        <v>67</v>
      </c>
      <c r="B11" s="6" t="n">
        <f aca="false">COUNTIF(前100篇台账!$J$2:$L$101,A11)</f>
        <v>9</v>
      </c>
      <c r="C11" s="18" t="n">
        <f aca="false">B11/300</f>
        <v>0.03</v>
      </c>
      <c r="D11" s="7" t="s">
        <v>535</v>
      </c>
    </row>
    <row r="12" customFormat="false" ht="15" hidden="false" customHeight="false" outlineLevel="0" collapsed="false">
      <c r="A12" s="7" t="s">
        <v>51</v>
      </c>
      <c r="B12" s="6" t="n">
        <f aca="false">COUNTIF(前100篇台账!$J$2:$L$101,A12)</f>
        <v>17</v>
      </c>
      <c r="C12" s="18" t="n">
        <f aca="false">B12/300</f>
        <v>0.0566666666666667</v>
      </c>
      <c r="D12" s="7" t="s">
        <v>535</v>
      </c>
    </row>
    <row r="13" customFormat="false" ht="15" hidden="false" customHeight="false" outlineLevel="0" collapsed="false">
      <c r="A13" s="7" t="s">
        <v>59</v>
      </c>
      <c r="B13" s="6" t="n">
        <f aca="false">COUNTIF(前100篇台账!$J$2:$L$101,A13)</f>
        <v>8</v>
      </c>
      <c r="C13" s="18" t="n">
        <f aca="false">B13/300</f>
        <v>0.0266666666666667</v>
      </c>
      <c r="D13" s="7" t="s">
        <v>535</v>
      </c>
    </row>
    <row r="14" customFormat="false" ht="15" hidden="false" customHeight="false" outlineLevel="0" collapsed="false">
      <c r="A14" s="7" t="s">
        <v>233</v>
      </c>
      <c r="B14" s="6" t="n">
        <f aca="false">COUNTIF(前100篇台账!$J$2:$L$101,A14)</f>
        <v>1</v>
      </c>
      <c r="C14" s="18" t="n">
        <f aca="false">B14/300</f>
        <v>0.00333333333333333</v>
      </c>
      <c r="D14" s="7" t="s">
        <v>535</v>
      </c>
    </row>
    <row r="15" customFormat="false" ht="15" hidden="false" customHeight="false" outlineLevel="0" collapsed="false">
      <c r="A15" s="7" t="s">
        <v>68</v>
      </c>
      <c r="B15" s="6" t="n">
        <f aca="false">COUNTIF(前100篇台账!$J$2:$L$101,A15)</f>
        <v>6</v>
      </c>
      <c r="C15" s="18" t="n">
        <f aca="false">B15/300</f>
        <v>0.02</v>
      </c>
      <c r="D15" s="7" t="s">
        <v>535</v>
      </c>
    </row>
    <row r="16" customFormat="false" ht="15" hidden="false" customHeight="false" outlineLevel="0" collapsed="false">
      <c r="A16" s="7" t="s">
        <v>98</v>
      </c>
      <c r="B16" s="6" t="n">
        <f aca="false">COUNTIF(前100篇台账!$J$2:$L$101,A16)</f>
        <v>8</v>
      </c>
      <c r="C16" s="18" t="n">
        <f aca="false">B16/300</f>
        <v>0.0266666666666667</v>
      </c>
      <c r="D16" s="7" t="s">
        <v>535</v>
      </c>
    </row>
    <row r="17" customFormat="false" ht="15" hidden="false" customHeight="false" outlineLevel="0" collapsed="false">
      <c r="A17" s="7" t="s">
        <v>74</v>
      </c>
      <c r="B17" s="6" t="n">
        <f aca="false">COUNTIF(前100篇台账!$J$2:$L$101,A17)</f>
        <v>4</v>
      </c>
      <c r="C17" s="18" t="n">
        <f aca="false">B17/300</f>
        <v>0.0133333333333333</v>
      </c>
      <c r="D17" s="7" t="s">
        <v>535</v>
      </c>
    </row>
    <row r="18" customFormat="false" ht="15" hidden="false" customHeight="false" outlineLevel="0" collapsed="false">
      <c r="A18" s="7" t="s">
        <v>227</v>
      </c>
      <c r="B18" s="6" t="n">
        <f aca="false">COUNTIF(前100篇台账!$J$2:$L$101,A18)</f>
        <v>6</v>
      </c>
      <c r="C18" s="18" t="n">
        <f aca="false">B18/300</f>
        <v>0.02</v>
      </c>
      <c r="D18" s="7" t="s">
        <v>535</v>
      </c>
    </row>
    <row r="19" customFormat="false" ht="15" hidden="false" customHeight="false" outlineLevel="0" collapsed="false">
      <c r="A19" s="7" t="s">
        <v>121</v>
      </c>
      <c r="B19" s="6" t="n">
        <f aca="false">COUNTIF(前100篇台账!$J$2:$L$101,A19)</f>
        <v>8</v>
      </c>
      <c r="C19" s="18" t="n">
        <f aca="false">B19/300</f>
        <v>0.0266666666666667</v>
      </c>
      <c r="D19" s="7" t="s">
        <v>535</v>
      </c>
    </row>
    <row r="20" customFormat="false" ht="15" hidden="false" customHeight="false" outlineLevel="0" collapsed="false">
      <c r="A20" s="7" t="s">
        <v>61</v>
      </c>
      <c r="B20" s="6" t="n">
        <f aca="false">COUNTIF(前100篇台账!$J$2:$L$101,A20)</f>
        <v>11</v>
      </c>
      <c r="C20" s="18" t="n">
        <f aca="false">B20/300</f>
        <v>0.0366666666666667</v>
      </c>
      <c r="D20" s="7" t="s">
        <v>535</v>
      </c>
    </row>
    <row r="21" customFormat="false" ht="15" hidden="false" customHeight="false" outlineLevel="0" collapsed="false">
      <c r="A21" s="7" t="s">
        <v>35</v>
      </c>
      <c r="B21" s="6" t="n">
        <f aca="false">COUNTIF(前100篇台账!$J$2:$L$101,A21)</f>
        <v>22</v>
      </c>
      <c r="C21" s="18" t="n">
        <f aca="false">B21/300</f>
        <v>0.0733333333333333</v>
      </c>
      <c r="D21" s="7" t="s">
        <v>535</v>
      </c>
    </row>
    <row r="22" customFormat="false" ht="15" hidden="false" customHeight="false" outlineLevel="0" collapsed="false">
      <c r="A22" s="7" t="s">
        <v>75</v>
      </c>
      <c r="B22" s="6" t="n">
        <f aca="false">COUNTIF(前100篇台账!$J$2:$L$101,A22)</f>
        <v>2</v>
      </c>
      <c r="C22" s="18" t="n">
        <f aca="false">B22/300</f>
        <v>0.00666666666666667</v>
      </c>
      <c r="D22" s="7" t="s">
        <v>535</v>
      </c>
    </row>
    <row r="23" customFormat="false" ht="15" hidden="false" customHeight="false" outlineLevel="0" collapsed="false">
      <c r="A23" s="7" t="s">
        <v>367</v>
      </c>
      <c r="B23" s="6" t="n">
        <f aca="false">COUNTIF(前100篇台账!$J$2:$L$101,A23)</f>
        <v>7</v>
      </c>
      <c r="C23" s="18" t="n">
        <f aca="false">B23/300</f>
        <v>0.0233333333333333</v>
      </c>
      <c r="D23" s="7" t="s">
        <v>535</v>
      </c>
    </row>
    <row r="24" customFormat="false" ht="15" hidden="false" customHeight="false" outlineLevel="0" collapsed="false">
      <c r="A24" s="7" t="s">
        <v>26</v>
      </c>
      <c r="B24" s="6" t="n">
        <f aca="false">COUNTIF(前100篇台账!$J$2:$L$101,A24)</f>
        <v>20</v>
      </c>
      <c r="C24" s="18" t="n">
        <f aca="false">B24/300</f>
        <v>0.0666666666666667</v>
      </c>
      <c r="D24" s="7" t="s">
        <v>535</v>
      </c>
    </row>
    <row r="25" customFormat="false" ht="15" hidden="false" customHeight="false" outlineLevel="0" collapsed="false">
      <c r="A25" s="7" t="s">
        <v>97</v>
      </c>
      <c r="B25" s="6" t="n">
        <f aca="false">COUNTIF(前100篇台账!$J$2:$L$101,A25)</f>
        <v>16</v>
      </c>
      <c r="C25" s="18" t="n">
        <f aca="false">B25/300</f>
        <v>0.0533333333333333</v>
      </c>
      <c r="D25" s="7" t="s">
        <v>535</v>
      </c>
    </row>
    <row r="26" customFormat="false" ht="15" hidden="false" customHeight="false" outlineLevel="0" collapsed="false">
      <c r="A26" s="7" t="s">
        <v>25</v>
      </c>
      <c r="B26" s="6" t="n">
        <f aca="false">COUNTIF(前100篇台账!$J$2:$L$101,A26)</f>
        <v>1</v>
      </c>
      <c r="C26" s="18" t="n">
        <f aca="false">B26/300</f>
        <v>0.00333333333333333</v>
      </c>
      <c r="D26" s="7" t="s">
        <v>535</v>
      </c>
    </row>
    <row r="27" customFormat="false" ht="15" hidden="false" customHeight="false" outlineLevel="0" collapsed="false">
      <c r="A27" s="7" t="s">
        <v>24</v>
      </c>
      <c r="B27" s="6" t="n">
        <f aca="false">COUNTIF(前100篇台账!$J$2:$L$101,A27)</f>
        <v>17</v>
      </c>
      <c r="C27" s="18" t="n">
        <f aca="false">B27/300</f>
        <v>0.0566666666666667</v>
      </c>
      <c r="D27" s="7" t="s">
        <v>535</v>
      </c>
    </row>
    <row r="28" customFormat="false" ht="15" hidden="false" customHeight="false" outlineLevel="0" collapsed="false">
      <c r="A28" s="7" t="s">
        <v>238</v>
      </c>
      <c r="B28" s="6" t="n">
        <f aca="false">COUNTIF(前100篇台账!$J$2:$L$101,A28)</f>
        <v>2</v>
      </c>
      <c r="C28" s="18" t="n">
        <f aca="false">B28/300</f>
        <v>0.00666666666666667</v>
      </c>
      <c r="D28" s="7" t="s">
        <v>535</v>
      </c>
    </row>
    <row r="29" customFormat="false" ht="15" hidden="false" customHeight="false" outlineLevel="0" collapsed="false">
      <c r="A29" s="7" t="s">
        <v>262</v>
      </c>
      <c r="B29" s="6" t="n">
        <f aca="false">COUNTIF(前100篇台账!$J$2:$L$101,A29)</f>
        <v>11</v>
      </c>
      <c r="C29" s="18" t="n">
        <f aca="false">B29/300</f>
        <v>0.0366666666666667</v>
      </c>
      <c r="D29" s="7" t="s">
        <v>535</v>
      </c>
    </row>
    <row r="30" customFormat="false" ht="15" hidden="false" customHeight="false" outlineLevel="0" collapsed="false">
      <c r="A30" s="7" t="s">
        <v>44</v>
      </c>
      <c r="B30" s="6" t="n">
        <f aca="false">COUNTIF(前100篇台账!$J$2:$L$101,A30)</f>
        <v>9</v>
      </c>
      <c r="C30" s="18" t="n">
        <f aca="false">B30/300</f>
        <v>0.03</v>
      </c>
      <c r="D30" s="7" t="s">
        <v>535</v>
      </c>
    </row>
    <row r="31" customFormat="false" ht="15" hidden="false" customHeight="false" outlineLevel="0" collapsed="false">
      <c r="A31" s="7" t="s">
        <v>80</v>
      </c>
      <c r="B31" s="6" t="n">
        <f aca="false">COUNTIF(前100篇台账!$J$2:$L$101,A31)</f>
        <v>2</v>
      </c>
      <c r="C31" s="18" t="n">
        <f aca="false">B31/300</f>
        <v>0.00666666666666667</v>
      </c>
      <c r="D31" s="7" t="s">
        <v>535</v>
      </c>
    </row>
    <row r="32" customFormat="false" ht="15" hidden="false" customHeight="false" outlineLevel="0" collapsed="false">
      <c r="A32" s="7" t="s">
        <v>86</v>
      </c>
      <c r="B32" s="6" t="n">
        <f aca="false">COUNTIF(前100篇台账!$J$2:$L$101,A32)</f>
        <v>3</v>
      </c>
      <c r="C32" s="18" t="n">
        <f aca="false">B32/300</f>
        <v>0.01</v>
      </c>
      <c r="D32" s="7" t="s">
        <v>535</v>
      </c>
    </row>
    <row r="33" customFormat="false" ht="15" hidden="false" customHeight="false" outlineLevel="0" collapsed="false">
      <c r="A33" s="7" t="s">
        <v>181</v>
      </c>
      <c r="B33" s="6" t="n">
        <f aca="false">COUNTIF(前100篇台账!$J$2:$L$101,A33)</f>
        <v>3</v>
      </c>
      <c r="C33" s="18" t="n">
        <f aca="false">B33/300</f>
        <v>0.01</v>
      </c>
      <c r="D33" s="7" t="s">
        <v>535</v>
      </c>
    </row>
    <row r="34" customFormat="false" ht="15" hidden="false" customHeight="false" outlineLevel="0" collapsed="false">
      <c r="A34" s="7" t="s">
        <v>36</v>
      </c>
      <c r="B34" s="6" t="n">
        <f aca="false">COUNTIF(前100篇台账!$J$2:$L$101,A34)</f>
        <v>2</v>
      </c>
      <c r="C34" s="18" t="n">
        <f aca="false">B34/300</f>
        <v>0.00666666666666667</v>
      </c>
      <c r="D34" s="7" t="s">
        <v>535</v>
      </c>
    </row>
    <row r="35" customFormat="false" ht="15" hidden="false" customHeight="false" outlineLevel="0" collapsed="false">
      <c r="A35" s="7" t="s">
        <v>226</v>
      </c>
      <c r="B35" s="6" t="n">
        <f aca="false">COUNTIF(前100篇台账!$J$2:$L$101,A35)</f>
        <v>3</v>
      </c>
      <c r="C35" s="18" t="n">
        <f aca="false">B35/300</f>
        <v>0.01</v>
      </c>
      <c r="D35" s="7" t="s">
        <v>535</v>
      </c>
    </row>
    <row r="36" customFormat="false" ht="15" hidden="false" customHeight="false" outlineLevel="0" collapsed="false">
      <c r="A36" s="7" t="s">
        <v>52</v>
      </c>
      <c r="B36" s="6" t="n">
        <f aca="false">COUNTIF(前100篇台账!$J$2:$L$101,A36)</f>
        <v>1</v>
      </c>
      <c r="C36" s="18" t="n">
        <f aca="false">B36/300</f>
        <v>0.00333333333333333</v>
      </c>
      <c r="D36" s="7" t="s">
        <v>535</v>
      </c>
    </row>
    <row r="37" customFormat="false" ht="15" hidden="false" customHeight="false" outlineLevel="0" collapsed="false">
      <c r="A37" s="7" t="s">
        <v>126</v>
      </c>
      <c r="B37" s="6" t="n">
        <f aca="false">COUNTIF(前100篇台账!$J$2:$L$101,A37)</f>
        <v>4</v>
      </c>
      <c r="C37" s="18" t="n">
        <f aca="false">B37/300</f>
        <v>0.0133333333333333</v>
      </c>
      <c r="D37" s="7" t="s">
        <v>535</v>
      </c>
    </row>
    <row r="38" customFormat="false" ht="15" hidden="false" customHeight="false" outlineLevel="0" collapsed="false">
      <c r="A38" s="19" t="s">
        <v>536</v>
      </c>
      <c r="B38" s="19" t="n">
        <f aca="false">SUM(B2:B37)</f>
        <v>300</v>
      </c>
      <c r="C38" s="20"/>
      <c r="D38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4"/>
  </cols>
  <sheetData>
    <row r="1" customFormat="false" ht="19.4" hidden="false" customHeight="false" outlineLevel="0" collapsed="false">
      <c r="A1" s="21" t="s">
        <v>537</v>
      </c>
    </row>
    <row r="2" customFormat="false" ht="15" hidden="false" customHeight="false" outlineLevel="0" collapsed="false">
      <c r="A2" s="22"/>
    </row>
    <row r="3" customFormat="false" ht="15" hidden="false" customHeight="false" outlineLevel="0" collapsed="false">
      <c r="A3" s="23" t="s">
        <v>538</v>
      </c>
    </row>
    <row r="4" customFormat="false" ht="15" hidden="false" customHeight="false" outlineLevel="0" collapsed="false">
      <c r="A4" s="22" t="s">
        <v>539</v>
      </c>
    </row>
    <row r="5" customFormat="false" ht="15" hidden="false" customHeight="false" outlineLevel="0" collapsed="false">
      <c r="A5" s="23" t="s">
        <v>540</v>
      </c>
    </row>
    <row r="6" customFormat="false" ht="15" hidden="false" customHeight="false" outlineLevel="0" collapsed="false">
      <c r="A6" s="22"/>
    </row>
    <row r="7" customFormat="false" ht="15" hidden="false" customHeight="false" outlineLevel="0" collapsed="false">
      <c r="A7" s="24" t="s">
        <v>541</v>
      </c>
    </row>
    <row r="8" customFormat="false" ht="15" hidden="false" customHeight="false" outlineLevel="0" collapsed="false">
      <c r="A8" s="22" t="s">
        <v>542</v>
      </c>
    </row>
    <row r="9" customFormat="false" ht="15" hidden="false" customHeight="false" outlineLevel="0" collapsed="false">
      <c r="A9" s="22" t="s">
        <v>543</v>
      </c>
    </row>
    <row r="10" customFormat="false" ht="15" hidden="false" customHeight="false" outlineLevel="0" collapsed="false">
      <c r="A10" s="22" t="s">
        <v>544</v>
      </c>
    </row>
    <row r="11" customFormat="false" ht="15" hidden="false" customHeight="false" outlineLevel="0" collapsed="false">
      <c r="A11" s="22"/>
    </row>
    <row r="12" customFormat="false" ht="15" hidden="false" customHeight="false" outlineLevel="0" collapsed="false">
      <c r="A12" s="23" t="s">
        <v>545</v>
      </c>
    </row>
    <row r="13" customFormat="false" ht="15" hidden="false" customHeight="false" outlineLevel="0" collapsed="false">
      <c r="A13" s="23" t="s">
        <v>546</v>
      </c>
    </row>
    <row r="14" customFormat="false" ht="15" hidden="false" customHeight="false" outlineLevel="0" collapsed="false">
      <c r="A14" s="22"/>
    </row>
    <row r="15" customFormat="false" ht="15" hidden="false" customHeight="false" outlineLevel="0" collapsed="false">
      <c r="A15" s="24" t="s">
        <v>547</v>
      </c>
    </row>
    <row r="16" customFormat="false" ht="15" hidden="false" customHeight="false" outlineLevel="0" collapsed="false">
      <c r="A16" s="22" t="s">
        <v>548</v>
      </c>
    </row>
    <row r="17" customFormat="false" ht="15" hidden="false" customHeight="false" outlineLevel="0" collapsed="false">
      <c r="A17" s="22" t="s">
        <v>549</v>
      </c>
    </row>
    <row r="18" customFormat="false" ht="15" hidden="false" customHeight="false" outlineLevel="0" collapsed="false">
      <c r="A18" s="22" t="s">
        <v>550</v>
      </c>
    </row>
    <row r="19" customFormat="false" ht="15" hidden="false" customHeight="false" outlineLevel="0" collapsed="false">
      <c r="A19" s="22"/>
    </row>
    <row r="20" customFormat="false" ht="15" hidden="false" customHeight="false" outlineLevel="0" collapsed="false">
      <c r="A20" s="23" t="s">
        <v>551</v>
      </c>
    </row>
    <row r="21" customFormat="false" ht="15" hidden="false" customHeight="false" outlineLevel="0" collapsed="false">
      <c r="A21" s="23" t="s">
        <v>552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2026-06-05T06:46:29Z</dcterms:created>
  <dc:creator>openpyxl</dc:creator>
  <dc:description/>
  <dc:language>en-US</dc:language>
  <cp:lastModifiedBy/>
  <dcterms:modified xsi:type="dcterms:W3CDTF">2026-06-05T06:46:29Z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