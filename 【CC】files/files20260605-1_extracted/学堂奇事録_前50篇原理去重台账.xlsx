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前50篇台账" sheetId="1" state="visible" r:id="rId3"/>
    <sheet name="知识域容量" sheetId="2" state="visible" r:id="rId4"/>
    <sheet name="说明" sheetId="3" state="visible" r:id="rId5"/>
  </sheets>
  <definedNames>
    <definedName function="false" hidden="true" localSheetId="0" name="_xlnm._FilterDatabase" vbProcedure="false">前50篇台账!$A$1:$P$51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<sst xmlns="http://schemas.openxmlformats.org/spreadsheetml/2006/main" count="759" uniqueCount="318">
  <si>
    <t xml:space="preserve">案号</t>
  </si>
  <si>
    <t xml:space="preserve">篇名（日）</t>
  </si>
  <si>
    <t xml:space="preserve">篇名（中）</t>
  </si>
  <si>
    <t xml:space="preserve">阶段</t>
  </si>
  <si>
    <t xml:space="preserve">层级</t>
  </si>
  <si>
    <t xml:space="preserve">载体</t>
  </si>
  <si>
    <t xml:space="preserve">季节</t>
  </si>
  <si>
    <t xml:space="preserve">领衔</t>
  </si>
  <si>
    <t xml:space="preserve">参与全员</t>
  </si>
  <si>
    <r>
      <rPr>
        <b val="true"/>
        <sz val="10"/>
        <color rgb="FFFFFFFF"/>
        <rFont val="Noto Sans CJK SC"/>
        <family val="2"/>
      </rPr>
      <t xml:space="preserve">知识域 </t>
    </r>
    <r>
      <rPr>
        <b val="true"/>
        <sz val="10"/>
        <color rgb="FFFFFFFF"/>
        <rFont val="Arial"/>
        <family val="0"/>
        <charset val="1"/>
      </rPr>
      <t xml:space="preserve">1</t>
    </r>
  </si>
  <si>
    <r>
      <rPr>
        <b val="true"/>
        <sz val="10"/>
        <color rgb="FFFFFFFF"/>
        <rFont val="Noto Sans CJK SC"/>
        <family val="2"/>
      </rPr>
      <t xml:space="preserve">知识域 </t>
    </r>
    <r>
      <rPr>
        <b val="true"/>
        <sz val="10"/>
        <color rgb="FFFFFFFF"/>
        <rFont val="Arial"/>
        <family val="0"/>
        <charset val="1"/>
      </rPr>
      <t xml:space="preserve">2</t>
    </r>
  </si>
  <si>
    <r>
      <rPr>
        <b val="true"/>
        <sz val="10"/>
        <color rgb="FFFFFFFF"/>
        <rFont val="Noto Sans CJK SC"/>
        <family val="2"/>
      </rPr>
      <t xml:space="preserve">知识域 </t>
    </r>
    <r>
      <rPr>
        <b val="true"/>
        <sz val="10"/>
        <color rgb="FFFFFFFF"/>
        <rFont val="Arial"/>
        <family val="0"/>
        <charset val="1"/>
      </rPr>
      <t xml:space="preserve">3</t>
    </r>
  </si>
  <si>
    <t xml:space="preserve">三原理三元组（标准化）</t>
  </si>
  <si>
    <t xml:space="preserve">主范式</t>
  </si>
  <si>
    <t xml:space="preserve">长线标记</t>
  </si>
  <si>
    <t xml:space="preserve">重复校验</t>
  </si>
  <si>
    <t xml:space="preserve">濡れる椅子</t>
  </si>
  <si>
    <t xml:space="preserve">总是湿的椅子</t>
  </si>
  <si>
    <r>
      <rPr>
        <sz val="10"/>
        <rFont val="Arial"/>
        <family val="0"/>
        <charset val="1"/>
      </rPr>
      <t xml:space="preserve">I </t>
    </r>
    <r>
      <rPr>
        <sz val="10"/>
        <rFont val="Noto Sans CJK SC"/>
        <family val="2"/>
      </rPr>
      <t xml:space="preserve">组建期</t>
    </r>
  </si>
  <si>
    <t xml:space="preserve">核心连载</t>
  </si>
  <si>
    <t xml:space="preserve">校园</t>
  </si>
  <si>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月</t>
    </r>
  </si>
  <si>
    <r>
      <rPr>
        <sz val="10"/>
        <rFont val="Noto Sans CJK SC"/>
        <family val="2"/>
      </rPr>
      <t xml:space="preserve">光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慧美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珣</t>
    </r>
  </si>
  <si>
    <r>
      <rPr>
        <sz val="10"/>
        <rFont val="Noto Sans CJK SC"/>
        <family val="2"/>
      </rPr>
      <t xml:space="preserve">光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慧美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志郎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珣（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瑆 笔记）</t>
    </r>
  </si>
  <si>
    <t xml:space="preserve">热学</t>
  </si>
  <si>
    <t xml:space="preserve">热传导</t>
  </si>
  <si>
    <t xml:space="preserve">气象</t>
  </si>
  <si>
    <r>
      <rPr>
        <sz val="9"/>
        <color rgb="FF333333"/>
        <rFont val="Noto Sans CJK SC"/>
        <family val="2"/>
      </rPr>
      <t xml:space="preserve">窗框热传导 </t>
    </r>
    <r>
      <rPr>
        <sz val="9"/>
        <color rgb="FF333333"/>
        <rFont val="Arial"/>
        <family val="0"/>
        <charset val="1"/>
      </rPr>
      <t xml:space="preserve">+ </t>
    </r>
    <r>
      <rPr>
        <sz val="9"/>
        <color rgb="FF333333"/>
        <rFont val="Noto Sans CJK SC"/>
        <family val="2"/>
      </rPr>
      <t xml:space="preserve">结露 </t>
    </r>
    <r>
      <rPr>
        <sz val="9"/>
        <color rgb="FF333333"/>
        <rFont val="Arial"/>
        <family val="0"/>
        <charset val="1"/>
      </rPr>
      <t xml:space="preserve">+ </t>
    </r>
    <r>
      <rPr>
        <sz val="9"/>
        <color rgb="FF333333"/>
        <rFont val="Noto Sans CJK SC"/>
        <family val="2"/>
      </rPr>
      <t xml:space="preserve">露点湿度</t>
    </r>
  </si>
  <si>
    <r>
      <rPr>
        <sz val="10"/>
        <rFont val="Noto Sans CJK SC"/>
        <family val="2"/>
      </rPr>
      <t xml:space="preserve">实验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微观</t>
    </r>
  </si>
  <si>
    <t xml:space="preserve">入社案</t>
  </si>
  <si>
    <t xml:space="preserve">転がる消しゴム</t>
  </si>
  <si>
    <t xml:space="preserve">谁偷了橡皮</t>
  </si>
  <si>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月</t>
    </r>
  </si>
  <si>
    <t xml:space="preserve">志郎</t>
  </si>
  <si>
    <t xml:space="preserve">力学</t>
  </si>
  <si>
    <t xml:space="preserve">材料</t>
  </si>
  <si>
    <t xml:space="preserve">行为</t>
  </si>
  <si>
    <r>
      <rPr>
        <sz val="9"/>
        <color rgb="FF333333"/>
        <rFont val="Noto Sans CJK SC"/>
        <family val="2"/>
      </rPr>
      <t xml:space="preserve">摩擦力 </t>
    </r>
    <r>
      <rPr>
        <sz val="9"/>
        <color rgb="FF333333"/>
        <rFont val="Arial"/>
        <family val="0"/>
        <charset val="1"/>
      </rPr>
      <t xml:space="preserve">+ </t>
    </r>
    <r>
      <rPr>
        <sz val="9"/>
        <color rgb="FF333333"/>
        <rFont val="Noto Sans CJK SC"/>
        <family val="2"/>
      </rPr>
      <t xml:space="preserve">斜面滚动 </t>
    </r>
    <r>
      <rPr>
        <sz val="9"/>
        <color rgb="FF333333"/>
        <rFont val="Arial"/>
        <family val="0"/>
        <charset val="1"/>
      </rPr>
      <t xml:space="preserve">+ </t>
    </r>
    <r>
      <rPr>
        <sz val="9"/>
        <color rgb="FF333333"/>
        <rFont val="Noto Sans CJK SC"/>
        <family val="2"/>
      </rPr>
      <t xml:space="preserve">行为习惯</t>
    </r>
  </si>
  <si>
    <t xml:space="preserve">结构还原</t>
  </si>
  <si>
    <t xml:space="preserve">アリの行列</t>
  </si>
  <si>
    <t xml:space="preserve">蚂蚁的队列</t>
  </si>
  <si>
    <r>
      <rPr>
        <sz val="10"/>
        <rFont val="Noto Sans CJK SC"/>
        <family val="2"/>
      </rPr>
      <t xml:space="preserve">校园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操场</t>
    </r>
  </si>
  <si>
    <r>
      <rPr>
        <sz val="10"/>
        <rFont val="Arial"/>
        <family val="0"/>
        <charset val="1"/>
      </rPr>
      <t xml:space="preserve">6</t>
    </r>
    <r>
      <rPr>
        <sz val="10"/>
        <rFont val="Noto Sans CJK SC"/>
        <family val="2"/>
      </rPr>
      <t xml:space="preserve">月梅雨</t>
    </r>
  </si>
  <si>
    <t xml:space="preserve">珣</t>
  </si>
  <si>
    <t xml:space="preserve">生物</t>
  </si>
  <si>
    <t xml:space="preserve">化学</t>
  </si>
  <si>
    <r>
      <rPr>
        <sz val="9"/>
        <color rgb="FF333333"/>
        <rFont val="Noto Sans CJK SC"/>
        <family val="2"/>
      </rPr>
      <t xml:space="preserve">信息素挥发 </t>
    </r>
    <r>
      <rPr>
        <sz val="9"/>
        <color rgb="FF333333"/>
        <rFont val="Arial"/>
        <family val="0"/>
        <charset val="1"/>
      </rPr>
      <t xml:space="preserve">+ </t>
    </r>
    <r>
      <rPr>
        <sz val="9"/>
        <color rgb="FF333333"/>
        <rFont val="Noto Sans CJK SC"/>
        <family val="2"/>
      </rPr>
      <t xml:space="preserve">昆虫信息素 </t>
    </r>
    <r>
      <rPr>
        <sz val="9"/>
        <color rgb="FF333333"/>
        <rFont val="Arial"/>
        <family val="0"/>
        <charset val="1"/>
      </rPr>
      <t xml:space="preserve">+ </t>
    </r>
    <r>
      <rPr>
        <sz val="9"/>
        <color rgb="FF333333"/>
        <rFont val="Noto Sans CJK SC"/>
        <family val="2"/>
      </rPr>
      <t xml:space="preserve">湿度扩散</t>
    </r>
  </si>
  <si>
    <t xml:space="preserve">微观领域</t>
  </si>
  <si>
    <t xml:space="preserve">音楽室の和音</t>
  </si>
  <si>
    <t xml:space="preserve">音乐教室的怪声</t>
  </si>
  <si>
    <r>
      <rPr>
        <sz val="10"/>
        <rFont val="Arial"/>
        <family val="0"/>
        <charset val="1"/>
      </rPr>
      <t xml:space="preserve">7</t>
    </r>
    <r>
      <rPr>
        <sz val="10"/>
        <rFont val="Noto Sans CJK SC"/>
        <family val="2"/>
      </rPr>
      <t xml:space="preserve">月</t>
    </r>
  </si>
  <si>
    <t xml:space="preserve">声学</t>
  </si>
  <si>
    <t xml:space="preserve">音乐</t>
  </si>
  <si>
    <r>
      <rPr>
        <sz val="9"/>
        <color rgb="FF333333"/>
        <rFont val="Noto Sans CJK SC"/>
        <family val="2"/>
      </rPr>
      <t xml:space="preserve">共振 </t>
    </r>
    <r>
      <rPr>
        <sz val="9"/>
        <color rgb="FF333333"/>
        <rFont val="Arial"/>
        <family val="0"/>
        <charset val="1"/>
      </rPr>
      <t xml:space="preserve">+ </t>
    </r>
    <r>
      <rPr>
        <sz val="9"/>
        <color rgb="FF333333"/>
        <rFont val="Noto Sans CJK SC"/>
        <family val="2"/>
      </rPr>
      <t xml:space="preserve">和弦泛音 </t>
    </r>
    <r>
      <rPr>
        <sz val="9"/>
        <color rgb="FF333333"/>
        <rFont val="Arial"/>
        <family val="0"/>
        <charset val="1"/>
      </rPr>
      <t xml:space="preserve">+ </t>
    </r>
    <r>
      <rPr>
        <sz val="9"/>
        <color rgb="FF333333"/>
        <rFont val="Noto Sans CJK SC"/>
        <family val="2"/>
      </rPr>
      <t xml:space="preserve">固体传声</t>
    </r>
  </si>
  <si>
    <t xml:space="preserve">微观</t>
  </si>
  <si>
    <t xml:space="preserve">旗竿の影</t>
  </si>
  <si>
    <t xml:space="preserve">歪掉的旗杆影子</t>
  </si>
  <si>
    <r>
      <rPr>
        <sz val="10"/>
        <rFont val="Arial"/>
        <family val="0"/>
        <charset val="1"/>
      </rPr>
      <t xml:space="preserve">10</t>
    </r>
    <r>
      <rPr>
        <sz val="10"/>
        <rFont val="Noto Sans CJK SC"/>
        <family val="2"/>
      </rPr>
      <t xml:space="preserve">月运动会</t>
    </r>
  </si>
  <si>
    <r>
      <rPr>
        <sz val="10"/>
        <rFont val="Noto Sans CJK SC"/>
        <family val="2"/>
      </rPr>
      <t xml:space="preserve">慧美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珣</t>
    </r>
  </si>
  <si>
    <t xml:space="preserve">天文</t>
  </si>
  <si>
    <t xml:space="preserve">地理</t>
  </si>
  <si>
    <t xml:space="preserve">数学</t>
  </si>
  <si>
    <r>
      <rPr>
        <sz val="9"/>
        <color rgb="FF333333"/>
        <rFont val="Noto Sans CJK SC"/>
        <family val="2"/>
      </rPr>
      <t xml:space="preserve">几何投影 </t>
    </r>
    <r>
      <rPr>
        <sz val="9"/>
        <color rgb="FF333333"/>
        <rFont val="Arial"/>
        <family val="0"/>
        <charset val="1"/>
      </rPr>
      <t xml:space="preserve">+ </t>
    </r>
    <r>
      <rPr>
        <sz val="9"/>
        <color rgb="FF333333"/>
        <rFont val="Noto Sans CJK SC"/>
        <family val="2"/>
      </rPr>
      <t xml:space="preserve">太阳高度角 </t>
    </r>
    <r>
      <rPr>
        <sz val="9"/>
        <color rgb="FF333333"/>
        <rFont val="Arial"/>
        <family val="0"/>
        <charset val="1"/>
      </rPr>
      <t xml:space="preserve">+ </t>
    </r>
    <r>
      <rPr>
        <sz val="9"/>
        <color rgb="FF333333"/>
        <rFont val="Noto Sans CJK SC"/>
        <family val="2"/>
      </rPr>
      <t xml:space="preserve">纬度时差</t>
    </r>
  </si>
  <si>
    <r>
      <rPr>
        <sz val="10"/>
        <rFont val="Noto Sans CJK SC"/>
        <family val="2"/>
      </rPr>
      <t xml:space="preserve">实验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结构</t>
    </r>
  </si>
  <si>
    <t xml:space="preserve">蛇口のぬるま湯</t>
  </si>
  <si>
    <t xml:space="preserve">水龙头里的温水</t>
  </si>
  <si>
    <r>
      <rPr>
        <sz val="10"/>
        <rFont val="Arial"/>
        <family val="0"/>
        <charset val="1"/>
      </rPr>
      <t xml:space="preserve">8</t>
    </r>
    <r>
      <rPr>
        <sz val="10"/>
        <rFont val="Noto Sans CJK SC"/>
        <family val="2"/>
      </rPr>
      <t xml:space="preserve">月</t>
    </r>
  </si>
  <si>
    <t xml:space="preserve">地质</t>
  </si>
  <si>
    <t xml:space="preserve">工程</t>
  </si>
  <si>
    <r>
      <rPr>
        <sz val="9"/>
        <color rgb="FF333333"/>
        <rFont val="Noto Sans CJK SC"/>
        <family val="2"/>
      </rPr>
      <t xml:space="preserve">土壤比热 </t>
    </r>
    <r>
      <rPr>
        <sz val="9"/>
        <color rgb="FF333333"/>
        <rFont val="Arial"/>
        <family val="0"/>
        <charset val="1"/>
      </rPr>
      <t xml:space="preserve">+ </t>
    </r>
    <r>
      <rPr>
        <sz val="9"/>
        <color rgb="FF333333"/>
        <rFont val="Noto Sans CJK SC"/>
        <family val="2"/>
      </rPr>
      <t xml:space="preserve">管道埋深 </t>
    </r>
    <r>
      <rPr>
        <sz val="9"/>
        <color rgb="FF333333"/>
        <rFont val="Arial"/>
        <family val="0"/>
        <charset val="1"/>
      </rPr>
      <t xml:space="preserve">+ </t>
    </r>
    <r>
      <rPr>
        <sz val="9"/>
        <color rgb="FF333333"/>
        <rFont val="Noto Sans CJK SC"/>
        <family val="2"/>
      </rPr>
      <t xml:space="preserve">管道热传导</t>
    </r>
  </si>
  <si>
    <t xml:space="preserve">植木鉢の白い骨</t>
  </si>
  <si>
    <t xml:space="preserve">花盆里的白骨</t>
  </si>
  <si>
    <r>
      <rPr>
        <sz val="10"/>
        <rFont val="Noto Sans CJK SC"/>
        <family val="2"/>
      </rPr>
      <t xml:space="preserve">校园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植物角</t>
    </r>
  </si>
  <si>
    <r>
      <rPr>
        <sz val="10"/>
        <rFont val="Arial"/>
        <family val="0"/>
        <charset val="1"/>
      </rPr>
      <t xml:space="preserve">11</t>
    </r>
    <r>
      <rPr>
        <sz val="10"/>
        <rFont val="Noto Sans CJK SC"/>
        <family val="2"/>
      </rPr>
      <t xml:space="preserve">月</t>
    </r>
  </si>
  <si>
    <t xml:space="preserve">微生物</t>
  </si>
  <si>
    <t xml:space="preserve">植物</t>
  </si>
  <si>
    <r>
      <rPr>
        <sz val="9"/>
        <color rgb="FF333333"/>
        <rFont val="Noto Sans CJK SC"/>
        <family val="2"/>
      </rPr>
      <t xml:space="preserve">共生关系 </t>
    </r>
    <r>
      <rPr>
        <sz val="9"/>
        <color rgb="FF333333"/>
        <rFont val="Arial"/>
        <family val="0"/>
        <charset val="1"/>
      </rPr>
      <t xml:space="preserve">+ </t>
    </r>
    <r>
      <rPr>
        <sz val="9"/>
        <color rgb="FF333333"/>
        <rFont val="Noto Sans CJK SC"/>
        <family val="2"/>
      </rPr>
      <t xml:space="preserve">真菌菌丝 </t>
    </r>
    <r>
      <rPr>
        <sz val="9"/>
        <color rgb="FF333333"/>
        <rFont val="Arial"/>
        <family val="0"/>
        <charset val="1"/>
      </rPr>
      <t xml:space="preserve">+ </t>
    </r>
    <r>
      <rPr>
        <sz val="9"/>
        <color rgb="FF333333"/>
        <rFont val="Noto Sans CJK SC"/>
        <family val="2"/>
      </rPr>
      <t xml:space="preserve">菌丝代谢</t>
    </r>
  </si>
  <si>
    <t xml:space="preserve">遅れる時計</t>
  </si>
  <si>
    <t xml:space="preserve">不走的钟</t>
  </si>
  <si>
    <r>
      <rPr>
        <sz val="10"/>
        <rFont val="Arial"/>
        <family val="0"/>
        <charset val="1"/>
      </rPr>
      <t xml:space="preserve">12</t>
    </r>
    <r>
      <rPr>
        <sz val="10"/>
        <rFont val="Noto Sans CJK SC"/>
        <family val="2"/>
      </rPr>
      <t xml:space="preserve">月</t>
    </r>
  </si>
  <si>
    <t xml:space="preserve">电子</t>
  </si>
  <si>
    <r>
      <rPr>
        <sz val="9"/>
        <color rgb="FF333333"/>
        <rFont val="Noto Sans CJK SC"/>
        <family val="2"/>
      </rPr>
      <t xml:space="preserve">温差 </t>
    </r>
    <r>
      <rPr>
        <sz val="9"/>
        <color rgb="FF333333"/>
        <rFont val="Arial"/>
        <family val="0"/>
        <charset val="1"/>
      </rPr>
      <t xml:space="preserve">+ </t>
    </r>
    <r>
      <rPr>
        <sz val="9"/>
        <color rgb="FF333333"/>
        <rFont val="Noto Sans CJK SC"/>
        <family val="2"/>
      </rPr>
      <t xml:space="preserve">石英晶振温度特性 </t>
    </r>
    <r>
      <rPr>
        <sz val="9"/>
        <color rgb="FF333333"/>
        <rFont val="Arial"/>
        <family val="0"/>
        <charset val="1"/>
      </rPr>
      <t xml:space="preserve">+ </t>
    </r>
    <r>
      <rPr>
        <sz val="9"/>
        <color rgb="FF333333"/>
        <rFont val="Noto Sans CJK SC"/>
        <family val="2"/>
      </rPr>
      <t xml:space="preserve">误差累积</t>
    </r>
  </si>
  <si>
    <t xml:space="preserve">ドアノブの火花</t>
  </si>
  <si>
    <t xml:space="preserve">会咬人的门把手</t>
  </si>
  <si>
    <r>
      <rPr>
        <sz val="10"/>
        <rFont val="Noto Sans CJK SC"/>
        <family val="2"/>
      </rPr>
      <t xml:space="preserve">校园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图书馆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</si>
  <si>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月</t>
    </r>
  </si>
  <si>
    <t xml:space="preserve">电磁</t>
  </si>
  <si>
    <r>
      <rPr>
        <sz val="9"/>
        <color rgb="FF333333"/>
        <rFont val="Noto Sans CJK SC"/>
        <family val="2"/>
      </rPr>
      <t xml:space="preserve">导电性 </t>
    </r>
    <r>
      <rPr>
        <sz val="9"/>
        <color rgb="FF333333"/>
        <rFont val="Arial"/>
        <family val="0"/>
        <charset val="1"/>
      </rPr>
      <t xml:space="preserve">+ </t>
    </r>
    <r>
      <rPr>
        <sz val="9"/>
        <color rgb="FF333333"/>
        <rFont val="Noto Sans CJK SC"/>
        <family val="2"/>
      </rPr>
      <t xml:space="preserve">干燥湿度 </t>
    </r>
    <r>
      <rPr>
        <sz val="9"/>
        <color rgb="FF333333"/>
        <rFont val="Arial"/>
        <family val="0"/>
        <charset val="1"/>
      </rPr>
      <t xml:space="preserve">+ </t>
    </r>
    <r>
      <rPr>
        <sz val="9"/>
        <color rgb="FF333333"/>
        <rFont val="Noto Sans CJK SC"/>
        <family val="2"/>
      </rPr>
      <t xml:space="preserve">静电</t>
    </r>
  </si>
  <si>
    <t xml:space="preserve">实验</t>
  </si>
  <si>
    <t xml:space="preserve">黒板の染み</t>
  </si>
  <si>
    <t xml:space="preserve">黑板上的印记</t>
  </si>
  <si>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月学年末</t>
    </r>
  </si>
  <si>
    <t xml:space="preserve">慧美</t>
  </si>
  <si>
    <t xml:space="preserve">光学</t>
  </si>
  <si>
    <r>
      <rPr>
        <sz val="9"/>
        <color rgb="FF333333"/>
        <rFont val="Noto Sans CJK SC"/>
        <family val="2"/>
      </rPr>
      <t xml:space="preserve">相似相溶 </t>
    </r>
    <r>
      <rPr>
        <sz val="9"/>
        <color rgb="FF333333"/>
        <rFont val="Arial"/>
        <family val="0"/>
        <charset val="1"/>
      </rPr>
      <t xml:space="preserve">+ </t>
    </r>
    <r>
      <rPr>
        <sz val="9"/>
        <color rgb="FF333333"/>
        <rFont val="Noto Sans CJK SC"/>
        <family val="2"/>
      </rPr>
      <t xml:space="preserve">窗格投影 </t>
    </r>
    <r>
      <rPr>
        <sz val="9"/>
        <color rgb="FF333333"/>
        <rFont val="Arial"/>
        <family val="0"/>
        <charset val="1"/>
      </rPr>
      <t xml:space="preserve">+ </t>
    </r>
    <r>
      <rPr>
        <sz val="9"/>
        <color rgb="FF333333"/>
        <rFont val="Noto Sans CJK SC"/>
        <family val="2"/>
      </rPr>
      <t xml:space="preserve">表面张力</t>
    </r>
  </si>
  <si>
    <t xml:space="preserve">廊下の口笛</t>
  </si>
  <si>
    <t xml:space="preserve">走廊的口哨声</t>
  </si>
  <si>
    <t xml:space="preserve">流体</t>
  </si>
  <si>
    <t xml:space="preserve">建筑</t>
  </si>
  <si>
    <r>
      <rPr>
        <sz val="9"/>
        <color rgb="FF333333"/>
        <rFont val="Noto Sans CJK SC"/>
        <family val="2"/>
      </rPr>
      <t xml:space="preserve">开口位置 </t>
    </r>
    <r>
      <rPr>
        <sz val="9"/>
        <color rgb="FF333333"/>
        <rFont val="Arial"/>
        <family val="0"/>
        <charset val="1"/>
      </rPr>
      <t xml:space="preserve">+ </t>
    </r>
    <r>
      <rPr>
        <sz val="9"/>
        <color rgb="FF333333"/>
        <rFont val="Noto Sans CJK SC"/>
        <family val="2"/>
      </rPr>
      <t xml:space="preserve">狭管加速 </t>
    </r>
    <r>
      <rPr>
        <sz val="9"/>
        <color rgb="FF333333"/>
        <rFont val="Arial"/>
        <family val="0"/>
        <charset val="1"/>
      </rPr>
      <t xml:space="preserve">+ </t>
    </r>
    <r>
      <rPr>
        <sz val="9"/>
        <color rgb="FF333333"/>
        <rFont val="Noto Sans CJK SC"/>
        <family val="2"/>
      </rPr>
      <t xml:space="preserve">风啸效应</t>
    </r>
  </si>
  <si>
    <t xml:space="preserve">浮かぶ氷</t>
  </si>
  <si>
    <t xml:space="preserve">浮起来的冰块</t>
  </si>
  <si>
    <r>
      <rPr>
        <sz val="10"/>
        <rFont val="Noto Sans CJK SC"/>
        <family val="2"/>
      </rPr>
      <t xml:space="preserve">校园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给食</t>
    </r>
  </si>
  <si>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月</t>
    </r>
  </si>
  <si>
    <r>
      <rPr>
        <sz val="10"/>
        <rFont val="Noto Sans CJK SC"/>
        <family val="2"/>
      </rPr>
      <t xml:space="preserve">慧美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志郎</t>
    </r>
  </si>
  <si>
    <r>
      <rPr>
        <sz val="9"/>
        <color rgb="FF333333"/>
        <rFont val="Noto Sans CJK SC"/>
        <family val="2"/>
      </rPr>
      <t xml:space="preserve">密度差 </t>
    </r>
    <r>
      <rPr>
        <sz val="9"/>
        <color rgb="FF333333"/>
        <rFont val="Arial"/>
        <family val="0"/>
        <charset val="1"/>
      </rPr>
      <t xml:space="preserve">+ </t>
    </r>
    <r>
      <rPr>
        <sz val="9"/>
        <color rgb="FF333333"/>
        <rFont val="Noto Sans CJK SC"/>
        <family val="2"/>
      </rPr>
      <t xml:space="preserve">浮力 </t>
    </r>
    <r>
      <rPr>
        <sz val="9"/>
        <color rgb="FF333333"/>
        <rFont val="Arial"/>
        <family val="0"/>
        <charset val="1"/>
      </rPr>
      <t xml:space="preserve">+ </t>
    </r>
    <r>
      <rPr>
        <sz val="9"/>
        <color rgb="FF333333"/>
        <rFont val="Noto Sans CJK SC"/>
        <family val="2"/>
      </rPr>
      <t xml:space="preserve">融化吸热</t>
    </r>
  </si>
  <si>
    <t xml:space="preserve">葛西さんの古地図</t>
  </si>
  <si>
    <t xml:space="preserve">葛西爷爷的旧地图</t>
  </si>
  <si>
    <t xml:space="preserve">社区</t>
  </si>
  <si>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月</t>
    </r>
  </si>
  <si>
    <r>
      <rPr>
        <sz val="10"/>
        <rFont val="Noto Sans CJK SC"/>
        <family val="2"/>
      </rPr>
      <t xml:space="preserve">葛西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珣</t>
    </r>
  </si>
  <si>
    <r>
      <rPr>
        <sz val="10"/>
        <rFont val="Noto Sans CJK SC"/>
        <family val="2"/>
      </rPr>
      <t xml:space="preserve">光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慧美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志郎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珣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葛西（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瑆 笔记）</t>
    </r>
  </si>
  <si>
    <t xml:space="preserve">历史</t>
  </si>
  <si>
    <r>
      <rPr>
        <sz val="9"/>
        <color rgb="FF333333"/>
        <rFont val="Noto Sans CJK SC"/>
        <family val="2"/>
      </rPr>
      <t xml:space="preserve">地图比例尺 </t>
    </r>
    <r>
      <rPr>
        <sz val="9"/>
        <color rgb="FF333333"/>
        <rFont val="Arial"/>
        <family val="0"/>
        <charset val="1"/>
      </rPr>
      <t xml:space="preserve">+ </t>
    </r>
    <r>
      <rPr>
        <sz val="9"/>
        <color rgb="FF333333"/>
        <rFont val="Noto Sans CJK SC"/>
        <family val="2"/>
      </rPr>
      <t xml:space="preserve">地貌变迁 </t>
    </r>
    <r>
      <rPr>
        <sz val="9"/>
        <color rgb="FF333333"/>
        <rFont val="Arial"/>
        <family val="0"/>
        <charset val="1"/>
      </rPr>
      <t xml:space="preserve">+ </t>
    </r>
    <r>
      <rPr>
        <sz val="9"/>
        <color rgb="FF333333"/>
        <rFont val="Noto Sans CJK SC"/>
        <family val="2"/>
      </rPr>
      <t xml:space="preserve">颜料褪色</t>
    </r>
  </si>
  <si>
    <r>
      <rPr>
        <sz val="10"/>
        <rFont val="Noto Sans CJK SC"/>
        <family val="2"/>
      </rPr>
      <t xml:space="preserve">溯源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人际</t>
    </r>
  </si>
  <si>
    <r>
      <rPr>
        <sz val="10"/>
        <rFont val="Noto Sans CJK SC"/>
        <family val="2"/>
      </rPr>
      <t xml:space="preserve">种子①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旧地图</t>
    </r>
    <r>
      <rPr>
        <sz val="10"/>
        <rFont val="Arial"/>
        <family val="0"/>
        <charset val="1"/>
      </rPr>
      <t xml:space="preserve">)</t>
    </r>
  </si>
  <si>
    <t xml:space="preserve">曲がるストロー</t>
  </si>
  <si>
    <t xml:space="preserve">弯曲的吸管</t>
  </si>
  <si>
    <t xml:space="preserve">外延单元</t>
  </si>
  <si>
    <t xml:space="preserve">家庭</t>
  </si>
  <si>
    <r>
      <rPr>
        <sz val="10"/>
        <rFont val="Noto Sans CJK SC"/>
        <family val="2"/>
      </rPr>
      <t xml:space="preserve">珣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瑆</t>
    </r>
  </si>
  <si>
    <t xml:space="preserve">感知</t>
  </si>
  <si>
    <r>
      <rPr>
        <sz val="9"/>
        <color rgb="FF333333"/>
        <rFont val="Noto Sans CJK SC"/>
        <family val="2"/>
      </rPr>
      <t xml:space="preserve">折射 </t>
    </r>
    <r>
      <rPr>
        <sz val="9"/>
        <color rgb="FF333333"/>
        <rFont val="Arial"/>
        <family val="0"/>
        <charset val="1"/>
      </rPr>
      <t xml:space="preserve">+ </t>
    </r>
    <r>
      <rPr>
        <sz val="9"/>
        <color rgb="FF333333"/>
        <rFont val="Noto Sans CJK SC"/>
        <family val="2"/>
      </rPr>
      <t xml:space="preserve">液面 </t>
    </r>
    <r>
      <rPr>
        <sz val="9"/>
        <color rgb="FF333333"/>
        <rFont val="Arial"/>
        <family val="0"/>
        <charset val="1"/>
      </rPr>
      <t xml:space="preserve">+ </t>
    </r>
    <r>
      <rPr>
        <sz val="9"/>
        <color rgb="FF333333"/>
        <rFont val="Noto Sans CJK SC"/>
        <family val="2"/>
      </rPr>
      <t xml:space="preserve">视错觉</t>
    </r>
  </si>
  <si>
    <t xml:space="preserve">感知预热</t>
  </si>
  <si>
    <t xml:space="preserve">におう教室</t>
  </si>
  <si>
    <t xml:space="preserve">有味道的教室</t>
  </si>
  <si>
    <t xml:space="preserve">食品化学</t>
  </si>
  <si>
    <r>
      <rPr>
        <sz val="9"/>
        <color rgb="FF333333"/>
        <rFont val="Noto Sans CJK SC"/>
        <family val="2"/>
      </rPr>
      <t xml:space="preserve">发酵气味 </t>
    </r>
    <r>
      <rPr>
        <sz val="9"/>
        <color rgb="FF333333"/>
        <rFont val="Arial"/>
        <family val="0"/>
        <charset val="1"/>
      </rPr>
      <t xml:space="preserve">+ </t>
    </r>
    <r>
      <rPr>
        <sz val="9"/>
        <color rgb="FF333333"/>
        <rFont val="Noto Sans CJK SC"/>
        <family val="2"/>
      </rPr>
      <t xml:space="preserve">菌群 </t>
    </r>
    <r>
      <rPr>
        <sz val="9"/>
        <color rgb="FF333333"/>
        <rFont val="Arial"/>
        <family val="0"/>
        <charset val="1"/>
      </rPr>
      <t xml:space="preserve">+ </t>
    </r>
    <r>
      <rPr>
        <sz val="9"/>
        <color rgb="FF333333"/>
        <rFont val="Noto Sans CJK SC"/>
        <family val="2"/>
      </rPr>
      <t xml:space="preserve">通风对流</t>
    </r>
  </si>
  <si>
    <t xml:space="preserve">影絵の怪</t>
  </si>
  <si>
    <t xml:space="preserve">影子戏的怪影</t>
  </si>
  <si>
    <r>
      <rPr>
        <sz val="10"/>
        <rFont val="Noto Sans CJK SC"/>
        <family val="2"/>
      </rPr>
      <t xml:space="preserve">校园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社区</t>
    </r>
  </si>
  <si>
    <r>
      <rPr>
        <sz val="10"/>
        <rFont val="Arial"/>
        <family val="0"/>
        <charset val="1"/>
      </rPr>
      <t xml:space="preserve">6</t>
    </r>
    <r>
      <rPr>
        <sz val="10"/>
        <rFont val="Noto Sans CJK SC"/>
        <family val="2"/>
      </rPr>
      <t xml:space="preserve">月</t>
    </r>
  </si>
  <si>
    <t xml:space="preserve">几何</t>
  </si>
  <si>
    <r>
      <rPr>
        <sz val="9"/>
        <color rgb="FF333333"/>
        <rFont val="Noto Sans CJK SC"/>
        <family val="2"/>
      </rPr>
      <t xml:space="preserve">多光源影 </t>
    </r>
    <r>
      <rPr>
        <sz val="9"/>
        <color rgb="FF333333"/>
        <rFont val="Arial"/>
        <family val="0"/>
        <charset val="1"/>
      </rPr>
      <t xml:space="preserve">+ </t>
    </r>
    <r>
      <rPr>
        <sz val="9"/>
        <color rgb="FF333333"/>
        <rFont val="Noto Sans CJK SC"/>
        <family val="2"/>
      </rPr>
      <t xml:space="preserve">投影几何 </t>
    </r>
    <r>
      <rPr>
        <sz val="9"/>
        <color rgb="FF333333"/>
        <rFont val="Arial"/>
        <family val="0"/>
        <charset val="1"/>
      </rPr>
      <t xml:space="preserve">+ </t>
    </r>
    <r>
      <rPr>
        <sz val="9"/>
        <color rgb="FF333333"/>
        <rFont val="Noto Sans CJK SC"/>
        <family val="2"/>
      </rPr>
      <t xml:space="preserve">视错觉</t>
    </r>
  </si>
  <si>
    <t xml:space="preserve">動く植木</t>
  </si>
  <si>
    <t xml:space="preserve">会动的盆栽</t>
  </si>
  <si>
    <r>
      <rPr>
        <sz val="9"/>
        <color rgb="FF333333"/>
        <rFont val="Noto Sans CJK SC"/>
        <family val="2"/>
      </rPr>
      <t xml:space="preserve">光周期 </t>
    </r>
    <r>
      <rPr>
        <sz val="9"/>
        <color rgb="FF333333"/>
        <rFont val="Arial"/>
        <family val="0"/>
        <charset val="1"/>
      </rPr>
      <t xml:space="preserve">+ </t>
    </r>
    <r>
      <rPr>
        <sz val="9"/>
        <color rgb="FF333333"/>
        <rFont val="Noto Sans CJK SC"/>
        <family val="2"/>
      </rPr>
      <t xml:space="preserve">向光性 </t>
    </r>
    <r>
      <rPr>
        <sz val="9"/>
        <color rgb="FF333333"/>
        <rFont val="Arial"/>
        <family val="0"/>
        <charset val="1"/>
      </rPr>
      <t xml:space="preserve">+ </t>
    </r>
    <r>
      <rPr>
        <sz val="9"/>
        <color rgb="FF333333"/>
        <rFont val="Noto Sans CJK SC"/>
        <family val="2"/>
      </rPr>
      <t xml:space="preserve">膨压运动</t>
    </r>
  </si>
  <si>
    <t xml:space="preserve">鳥のものまね</t>
  </si>
  <si>
    <t xml:space="preserve">鸟的口技</t>
  </si>
  <si>
    <r>
      <rPr>
        <sz val="10"/>
        <rFont val="Noto Sans CJK SC"/>
        <family val="2"/>
      </rPr>
      <t xml:space="preserve">社区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公园</t>
    </r>
  </si>
  <si>
    <r>
      <rPr>
        <sz val="10"/>
        <rFont val="Arial"/>
        <family val="0"/>
        <charset val="1"/>
      </rPr>
      <t xml:space="preserve">9</t>
    </r>
    <r>
      <rPr>
        <sz val="10"/>
        <rFont val="Noto Sans CJK SC"/>
        <family val="2"/>
      </rPr>
      <t xml:space="preserve">月</t>
    </r>
  </si>
  <si>
    <t xml:space="preserve">动物</t>
  </si>
  <si>
    <t xml:space="preserve">人体</t>
  </si>
  <si>
    <r>
      <rPr>
        <sz val="9"/>
        <color rgb="FF333333"/>
        <rFont val="Noto Sans CJK SC"/>
        <family val="2"/>
      </rPr>
      <t xml:space="preserve">听觉范围 </t>
    </r>
    <r>
      <rPr>
        <sz val="9"/>
        <color rgb="FF333333"/>
        <rFont val="Arial"/>
        <family val="0"/>
        <charset val="1"/>
      </rPr>
      <t xml:space="preserve">+ </t>
    </r>
    <r>
      <rPr>
        <sz val="9"/>
        <color rgb="FF333333"/>
        <rFont val="Noto Sans CJK SC"/>
        <family val="2"/>
      </rPr>
      <t xml:space="preserve">声音频率 </t>
    </r>
    <r>
      <rPr>
        <sz val="9"/>
        <color rgb="FF333333"/>
        <rFont val="Arial"/>
        <family val="0"/>
        <charset val="1"/>
      </rPr>
      <t xml:space="preserve">+ </t>
    </r>
    <r>
      <rPr>
        <sz val="9"/>
        <color rgb="FF333333"/>
        <rFont val="Noto Sans CJK SC"/>
        <family val="2"/>
      </rPr>
      <t xml:space="preserve">鸟类发声</t>
    </r>
  </si>
  <si>
    <t xml:space="preserve">濡れない傘</t>
  </si>
  <si>
    <t xml:space="preserve">淋不湿的伞</t>
  </si>
  <si>
    <r>
      <rPr>
        <sz val="10"/>
        <rFont val="Arial"/>
        <family val="0"/>
        <charset val="1"/>
      </rPr>
      <t xml:space="preserve">10</t>
    </r>
    <r>
      <rPr>
        <sz val="10"/>
        <rFont val="Noto Sans CJK SC"/>
        <family val="2"/>
      </rPr>
      <t xml:space="preserve">月秋雨</t>
    </r>
  </si>
  <si>
    <r>
      <rPr>
        <sz val="9"/>
        <color rgb="FF333333"/>
        <rFont val="Noto Sans CJK SC"/>
        <family val="2"/>
      </rPr>
      <t xml:space="preserve">涂层化学 </t>
    </r>
    <r>
      <rPr>
        <sz val="9"/>
        <color rgb="FF333333"/>
        <rFont val="Arial"/>
        <family val="0"/>
        <charset val="1"/>
      </rPr>
      <t xml:space="preserve">+ </t>
    </r>
    <r>
      <rPr>
        <sz val="9"/>
        <color rgb="FF333333"/>
        <rFont val="Noto Sans CJK SC"/>
        <family val="2"/>
      </rPr>
      <t xml:space="preserve">疏水表面 </t>
    </r>
    <r>
      <rPr>
        <sz val="9"/>
        <color rgb="FF333333"/>
        <rFont val="Arial"/>
        <family val="0"/>
        <charset val="1"/>
      </rPr>
      <t xml:space="preserve">+ </t>
    </r>
    <r>
      <rPr>
        <sz val="9"/>
        <color rgb="FF333333"/>
        <rFont val="Noto Sans CJK SC"/>
        <family val="2"/>
      </rPr>
      <t xml:space="preserve">表面张力</t>
    </r>
  </si>
  <si>
    <t xml:space="preserve">结构</t>
  </si>
  <si>
    <t xml:space="preserve">消えた虹</t>
  </si>
  <si>
    <t xml:space="preserve">消失的彩虹</t>
  </si>
  <si>
    <r>
      <rPr>
        <sz val="9"/>
        <color rgb="FF333333"/>
        <rFont val="Noto Sans CJK SC"/>
        <family val="2"/>
      </rPr>
      <t xml:space="preserve">太阳角 </t>
    </r>
    <r>
      <rPr>
        <sz val="9"/>
        <color rgb="FF333333"/>
        <rFont val="Arial"/>
        <family val="0"/>
        <charset val="1"/>
      </rPr>
      <t xml:space="preserve">+ </t>
    </r>
    <r>
      <rPr>
        <sz val="9"/>
        <color rgb="FF333333"/>
        <rFont val="Noto Sans CJK SC"/>
        <family val="2"/>
      </rPr>
      <t xml:space="preserve">水滴折射 </t>
    </r>
    <r>
      <rPr>
        <sz val="9"/>
        <color rgb="FF333333"/>
        <rFont val="Arial"/>
        <family val="0"/>
        <charset val="1"/>
      </rPr>
      <t xml:space="preserve">+ </t>
    </r>
    <r>
      <rPr>
        <sz val="9"/>
        <color rgb="FF333333"/>
        <rFont val="Noto Sans CJK SC"/>
        <family val="2"/>
      </rPr>
      <t xml:space="preserve">色散</t>
    </r>
  </si>
  <si>
    <t xml:space="preserve">名古屋城のしゃちほこ</t>
  </si>
  <si>
    <t xml:space="preserve">名古屋城的金鯱</t>
  </si>
  <si>
    <r>
      <rPr>
        <sz val="10"/>
        <rFont val="Noto Sans CJK SC"/>
        <family val="2"/>
      </rPr>
      <t xml:space="preserve">城市特典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远足</t>
    </r>
  </si>
  <si>
    <r>
      <rPr>
        <sz val="10"/>
        <rFont val="Noto Sans CJK SC"/>
        <family val="2"/>
      </rPr>
      <t xml:space="preserve">志郎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珣</t>
    </r>
  </si>
  <si>
    <r>
      <rPr>
        <sz val="9"/>
        <color rgb="FF333333"/>
        <rFont val="Noto Sans CJK SC"/>
        <family val="2"/>
      </rPr>
      <t xml:space="preserve">抗震结构 </t>
    </r>
    <r>
      <rPr>
        <sz val="9"/>
        <color rgb="FF333333"/>
        <rFont val="Arial"/>
        <family val="0"/>
        <charset val="1"/>
      </rPr>
      <t xml:space="preserve">+ </t>
    </r>
    <r>
      <rPr>
        <sz val="9"/>
        <color rgb="FF333333"/>
        <rFont val="Noto Sans CJK SC"/>
        <family val="2"/>
      </rPr>
      <t xml:space="preserve">避雷原理 </t>
    </r>
    <r>
      <rPr>
        <sz val="9"/>
        <color rgb="FF333333"/>
        <rFont val="Arial"/>
        <family val="0"/>
        <charset val="1"/>
      </rPr>
      <t xml:space="preserve">+ </t>
    </r>
    <r>
      <rPr>
        <sz val="9"/>
        <color rgb="FF333333"/>
        <rFont val="Noto Sans CJK SC"/>
        <family val="2"/>
      </rPr>
      <t xml:space="preserve">金属氧化</t>
    </r>
  </si>
  <si>
    <r>
      <rPr>
        <sz val="10"/>
        <rFont val="Noto Sans CJK SC"/>
        <family val="2"/>
      </rPr>
      <t xml:space="preserve">结构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溯源</t>
    </r>
  </si>
  <si>
    <t xml:space="preserve">熱田の森</t>
  </si>
  <si>
    <t xml:space="preserve">热田神宫的森林</t>
  </si>
  <si>
    <r>
      <rPr>
        <sz val="9"/>
        <color rgb="FF333333"/>
        <rFont val="Noto Sans CJK SC"/>
        <family val="2"/>
      </rPr>
      <t xml:space="preserve">树冠隔音 </t>
    </r>
    <r>
      <rPr>
        <sz val="9"/>
        <color rgb="FF333333"/>
        <rFont val="Arial"/>
        <family val="0"/>
        <charset val="1"/>
      </rPr>
      <t xml:space="preserve">+ </t>
    </r>
    <r>
      <rPr>
        <sz val="9"/>
        <color rgb="FF333333"/>
        <rFont val="Noto Sans CJK SC"/>
        <family val="2"/>
      </rPr>
      <t xml:space="preserve">森林微气候 </t>
    </r>
    <r>
      <rPr>
        <sz val="9"/>
        <color rgb="FF333333"/>
        <rFont val="Arial"/>
        <family val="0"/>
        <charset val="1"/>
      </rPr>
      <t xml:space="preserve">+ </t>
    </r>
    <r>
      <rPr>
        <sz val="9"/>
        <color rgb="FF333333"/>
        <rFont val="Noto Sans CJK SC"/>
        <family val="2"/>
      </rPr>
      <t xml:space="preserve">空气湿度</t>
    </r>
  </si>
  <si>
    <t xml:space="preserve">犬山城の天守</t>
  </si>
  <si>
    <t xml:space="preserve">犬山城天守</t>
  </si>
  <si>
    <r>
      <rPr>
        <sz val="10"/>
        <rFont val="Noto Sans CJK SC"/>
        <family val="2"/>
      </rPr>
      <t xml:space="preserve">城市特典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修学旅行</t>
    </r>
  </si>
  <si>
    <r>
      <rPr>
        <sz val="9"/>
        <color rgb="FF333333"/>
        <rFont val="Noto Sans CJK SC"/>
        <family val="2"/>
      </rPr>
      <t xml:space="preserve">抗震阻尼 </t>
    </r>
    <r>
      <rPr>
        <sz val="9"/>
        <color rgb="FF333333"/>
        <rFont val="Arial"/>
        <family val="0"/>
        <charset val="1"/>
      </rPr>
      <t xml:space="preserve">+ </t>
    </r>
    <r>
      <rPr>
        <sz val="9"/>
        <color rgb="FF333333"/>
        <rFont val="Noto Sans CJK SC"/>
        <family val="2"/>
      </rPr>
      <t xml:space="preserve">木构榫卯 </t>
    </r>
    <r>
      <rPr>
        <sz val="9"/>
        <color rgb="FF333333"/>
        <rFont val="Arial"/>
        <family val="0"/>
        <charset val="1"/>
      </rPr>
      <t xml:space="preserve">+ </t>
    </r>
    <r>
      <rPr>
        <sz val="9"/>
        <color rgb="FF333333"/>
        <rFont val="Noto Sans CJK SC"/>
        <family val="2"/>
      </rPr>
      <t xml:space="preserve">重心平衡</t>
    </r>
  </si>
  <si>
    <t xml:space="preserve">リニア館の磁気</t>
  </si>
  <si>
    <t xml:space="preserve">磁浮馆的磁力</t>
  </si>
  <si>
    <r>
      <rPr>
        <sz val="10"/>
        <rFont val="Noto Sans CJK SC"/>
        <family val="2"/>
      </rPr>
      <t xml:space="preserve">城市特典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科学馆</t>
    </r>
  </si>
  <si>
    <r>
      <rPr>
        <sz val="9"/>
        <color rgb="FF333333"/>
        <rFont val="Noto Sans CJK SC"/>
        <family val="2"/>
      </rPr>
      <t xml:space="preserve">涡流 </t>
    </r>
    <r>
      <rPr>
        <sz val="9"/>
        <color rgb="FF333333"/>
        <rFont val="Arial"/>
        <family val="0"/>
        <charset val="1"/>
      </rPr>
      <t xml:space="preserve">+ </t>
    </r>
    <r>
      <rPr>
        <sz val="9"/>
        <color rgb="FF333333"/>
        <rFont val="Noto Sans CJK SC"/>
        <family val="2"/>
      </rPr>
      <t xml:space="preserve">电磁感应 </t>
    </r>
    <r>
      <rPr>
        <sz val="9"/>
        <color rgb="FF333333"/>
        <rFont val="Arial"/>
        <family val="0"/>
        <charset val="1"/>
      </rPr>
      <t xml:space="preserve">+ </t>
    </r>
    <r>
      <rPr>
        <sz val="9"/>
        <color rgb="FF333333"/>
        <rFont val="Noto Sans CJK SC"/>
        <family val="2"/>
      </rPr>
      <t xml:space="preserve">磁悬浮</t>
    </r>
  </si>
  <si>
    <t xml:space="preserve">動物園の鳴き声</t>
  </si>
  <si>
    <t xml:space="preserve">东山动物园的叫声</t>
  </si>
  <si>
    <t xml:space="preserve">城市特典</t>
  </si>
  <si>
    <r>
      <rPr>
        <sz val="9"/>
        <color rgb="FF333333"/>
        <rFont val="Noto Sans CJK SC"/>
        <family val="2"/>
      </rPr>
      <t xml:space="preserve">共鸣腔 </t>
    </r>
    <r>
      <rPr>
        <sz val="9"/>
        <color rgb="FF333333"/>
        <rFont val="Arial"/>
        <family val="0"/>
        <charset val="1"/>
      </rPr>
      <t xml:space="preserve">+ </t>
    </r>
    <r>
      <rPr>
        <sz val="9"/>
        <color rgb="FF333333"/>
        <rFont val="Noto Sans CJK SC"/>
        <family val="2"/>
      </rPr>
      <t xml:space="preserve">动物发声 </t>
    </r>
    <r>
      <rPr>
        <sz val="9"/>
        <color rgb="FF333333"/>
        <rFont val="Arial"/>
        <family val="0"/>
        <charset val="1"/>
      </rPr>
      <t xml:space="preserve">+ </t>
    </r>
    <r>
      <rPr>
        <sz val="9"/>
        <color rgb="FF333333"/>
        <rFont val="Noto Sans CJK SC"/>
        <family val="2"/>
      </rPr>
      <t xml:space="preserve">行为信号</t>
    </r>
  </si>
  <si>
    <t xml:space="preserve">プラネタリウムの北</t>
  </si>
  <si>
    <t xml:space="preserve">天文馆的北方</t>
  </si>
  <si>
    <r>
      <rPr>
        <sz val="10"/>
        <rFont val="Noto Sans CJK SC"/>
        <family val="2"/>
      </rPr>
      <t xml:space="preserve">城市特典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天文</t>
    </r>
  </si>
  <si>
    <r>
      <rPr>
        <sz val="9"/>
        <color rgb="FF333333"/>
        <rFont val="Noto Sans CJK SC"/>
        <family val="2"/>
      </rPr>
      <t xml:space="preserve">北极星定位 </t>
    </r>
    <r>
      <rPr>
        <sz val="9"/>
        <color rgb="FF333333"/>
        <rFont val="Arial"/>
        <family val="0"/>
        <charset val="1"/>
      </rPr>
      <t xml:space="preserve">+ </t>
    </r>
    <r>
      <rPr>
        <sz val="9"/>
        <color rgb="FF333333"/>
        <rFont val="Noto Sans CJK SC"/>
        <family val="2"/>
      </rPr>
      <t xml:space="preserve">周日视运动 </t>
    </r>
    <r>
      <rPr>
        <sz val="9"/>
        <color rgb="FF333333"/>
        <rFont val="Arial"/>
        <family val="0"/>
        <charset val="1"/>
      </rPr>
      <t xml:space="preserve">+ </t>
    </r>
    <r>
      <rPr>
        <sz val="9"/>
        <color rgb="FF333333"/>
        <rFont val="Noto Sans CJK SC"/>
        <family val="2"/>
      </rPr>
      <t xml:space="preserve">极轴</t>
    </r>
  </si>
  <si>
    <t xml:space="preserve">美術館の青</t>
  </si>
  <si>
    <t xml:space="preserve">美术馆的蓝色</t>
  </si>
  <si>
    <r>
      <rPr>
        <sz val="10"/>
        <rFont val="Noto Sans CJK SC"/>
        <family val="2"/>
      </rPr>
      <t xml:space="preserve">城市特典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主题</t>
    </r>
  </si>
  <si>
    <r>
      <rPr>
        <sz val="10"/>
        <rFont val="Arial"/>
        <family val="0"/>
        <charset val="1"/>
      </rPr>
      <t xml:space="preserve">10</t>
    </r>
    <r>
      <rPr>
        <sz val="10"/>
        <rFont val="Noto Sans CJK SC"/>
        <family val="2"/>
      </rPr>
      <t xml:space="preserve">月</t>
    </r>
  </si>
  <si>
    <t xml:space="preserve">色彩</t>
  </si>
  <si>
    <r>
      <rPr>
        <sz val="9"/>
        <color rgb="FF333333"/>
        <rFont val="Noto Sans CJK SC"/>
        <family val="2"/>
      </rPr>
      <t xml:space="preserve">光反射 </t>
    </r>
    <r>
      <rPr>
        <sz val="9"/>
        <color rgb="FF333333"/>
        <rFont val="Arial"/>
        <family val="0"/>
        <charset val="1"/>
      </rPr>
      <t xml:space="preserve">+ </t>
    </r>
    <r>
      <rPr>
        <sz val="9"/>
        <color rgb="FF333333"/>
        <rFont val="Noto Sans CJK SC"/>
        <family val="2"/>
      </rPr>
      <t xml:space="preserve">光致变色 </t>
    </r>
    <r>
      <rPr>
        <sz val="9"/>
        <color rgb="FF333333"/>
        <rFont val="Arial"/>
        <family val="0"/>
        <charset val="1"/>
      </rPr>
      <t xml:space="preserve">+ </t>
    </r>
    <r>
      <rPr>
        <sz val="9"/>
        <color rgb="FF333333"/>
        <rFont val="Noto Sans CJK SC"/>
        <family val="2"/>
      </rPr>
      <t xml:space="preserve">矿物颜料</t>
    </r>
  </si>
  <si>
    <r>
      <rPr>
        <sz val="10"/>
        <rFont val="Noto Sans CJK SC"/>
        <family val="2"/>
      </rPr>
      <t xml:space="preserve">种子②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矿物颜料</t>
    </r>
    <r>
      <rPr>
        <sz val="10"/>
        <rFont val="Arial"/>
        <family val="0"/>
        <charset val="1"/>
      </rPr>
      <t xml:space="preserve">)</t>
    </r>
  </si>
  <si>
    <t xml:space="preserve">川の四六分水</t>
  </si>
  <si>
    <t xml:space="preserve">河边的四六分水</t>
  </si>
  <si>
    <r>
      <rPr>
        <sz val="10"/>
        <rFont val="Noto Sans CJK SC"/>
        <family val="2"/>
      </rPr>
      <t xml:space="preserve">城市特典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治水</t>
    </r>
  </si>
  <si>
    <r>
      <rPr>
        <sz val="9"/>
        <color rgb="FF333333"/>
        <rFont val="Noto Sans CJK SC"/>
        <family val="2"/>
      </rPr>
      <t xml:space="preserve">分水力学 </t>
    </r>
    <r>
      <rPr>
        <sz val="9"/>
        <color rgb="FF333333"/>
        <rFont val="Arial"/>
        <family val="0"/>
        <charset val="1"/>
      </rPr>
      <t xml:space="preserve">+ </t>
    </r>
    <r>
      <rPr>
        <sz val="9"/>
        <color rgb="FF333333"/>
        <rFont val="Noto Sans CJK SC"/>
        <family val="2"/>
      </rPr>
      <t xml:space="preserve">河床形态 </t>
    </r>
    <r>
      <rPr>
        <sz val="9"/>
        <color rgb="FF333333"/>
        <rFont val="Arial"/>
        <family val="0"/>
        <charset val="1"/>
      </rPr>
      <t xml:space="preserve">+ </t>
    </r>
    <r>
      <rPr>
        <sz val="9"/>
        <color rgb="FF333333"/>
        <rFont val="Noto Sans CJK SC"/>
        <family val="2"/>
      </rPr>
      <t xml:space="preserve">流速分配</t>
    </r>
  </si>
  <si>
    <t xml:space="preserve">味噌蔵の温度</t>
  </si>
  <si>
    <t xml:space="preserve">味噌作坊的温度</t>
  </si>
  <si>
    <r>
      <rPr>
        <sz val="10"/>
        <rFont val="Noto Sans CJK SC"/>
        <family val="2"/>
      </rPr>
      <t xml:space="preserve">城市特典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食农</t>
    </r>
  </si>
  <si>
    <r>
      <rPr>
        <sz val="9"/>
        <color rgb="FF333333"/>
        <rFont val="Noto Sans CJK SC"/>
        <family val="2"/>
      </rPr>
      <t xml:space="preserve">味噌发酵 </t>
    </r>
    <r>
      <rPr>
        <sz val="9"/>
        <color rgb="FF333333"/>
        <rFont val="Arial"/>
        <family val="0"/>
        <charset val="1"/>
      </rPr>
      <t xml:space="preserve">+ </t>
    </r>
    <r>
      <rPr>
        <sz val="9"/>
        <color rgb="FF333333"/>
        <rFont val="Noto Sans CJK SC"/>
        <family val="2"/>
      </rPr>
      <t xml:space="preserve">恒温控制 </t>
    </r>
    <r>
      <rPr>
        <sz val="9"/>
        <color rgb="FF333333"/>
        <rFont val="Arial"/>
        <family val="0"/>
        <charset val="1"/>
      </rPr>
      <t xml:space="preserve">+ </t>
    </r>
    <r>
      <rPr>
        <sz val="9"/>
        <color rgb="FF333333"/>
        <rFont val="Noto Sans CJK SC"/>
        <family val="2"/>
      </rPr>
      <t xml:space="preserve">熟成菌群</t>
    </r>
  </si>
  <si>
    <t xml:space="preserve">古い鐘の音</t>
  </si>
  <si>
    <t xml:space="preserve">古寺的钟声</t>
  </si>
  <si>
    <r>
      <rPr>
        <sz val="10"/>
        <rFont val="Noto Sans CJK SC"/>
        <family val="2"/>
      </rPr>
      <t xml:space="preserve">城市特典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历史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</si>
  <si>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月初詣</t>
    </r>
  </si>
  <si>
    <r>
      <rPr>
        <sz val="10"/>
        <rFont val="Noto Sans CJK SC"/>
        <family val="2"/>
      </rPr>
      <t xml:space="preserve">珣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葛西</t>
    </r>
  </si>
  <si>
    <r>
      <rPr>
        <sz val="9"/>
        <color rgb="FF333333"/>
        <rFont val="Noto Sans CJK SC"/>
        <family val="2"/>
      </rPr>
      <t xml:space="preserve">合金成分 </t>
    </r>
    <r>
      <rPr>
        <sz val="9"/>
        <color rgb="FF333333"/>
        <rFont val="Arial"/>
        <family val="0"/>
        <charset val="1"/>
      </rPr>
      <t xml:space="preserve">+ </t>
    </r>
    <r>
      <rPr>
        <sz val="9"/>
        <color rgb="FF333333"/>
        <rFont val="Noto Sans CJK SC"/>
        <family val="2"/>
      </rPr>
      <t xml:space="preserve">声衰减 </t>
    </r>
    <r>
      <rPr>
        <sz val="9"/>
        <color rgb="FF333333"/>
        <rFont val="Arial"/>
        <family val="0"/>
        <charset val="1"/>
      </rPr>
      <t xml:space="preserve">+ </t>
    </r>
    <r>
      <rPr>
        <sz val="9"/>
        <color rgb="FF333333"/>
        <rFont val="Noto Sans CJK SC"/>
        <family val="2"/>
      </rPr>
      <t xml:space="preserve">钟体共振</t>
    </r>
  </si>
  <si>
    <r>
      <rPr>
        <sz val="10"/>
        <rFont val="Noto Sans CJK SC"/>
        <family val="2"/>
      </rPr>
      <t xml:space="preserve">微观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溯源</t>
    </r>
  </si>
  <si>
    <r>
      <rPr>
        <sz val="10"/>
        <rFont val="Noto Sans CJK SC"/>
        <family val="2"/>
      </rPr>
      <t xml:space="preserve">种子③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古钟合金</t>
    </r>
    <r>
      <rPr>
        <sz val="10"/>
        <rFont val="Arial"/>
        <family val="0"/>
        <charset val="1"/>
      </rPr>
      <t xml:space="preserve">)</t>
    </r>
  </si>
  <si>
    <t xml:space="preserve">夏祭りの提灯</t>
  </si>
  <si>
    <t xml:space="preserve">夏日祭的灯笼</t>
  </si>
  <si>
    <r>
      <rPr>
        <sz val="10"/>
        <rFont val="Noto Sans CJK SC"/>
        <family val="2"/>
      </rPr>
      <t xml:space="preserve">季节特别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祭典</t>
    </r>
  </si>
  <si>
    <r>
      <rPr>
        <sz val="9"/>
        <color rgb="FF333333"/>
        <rFont val="Noto Sans CJK SC"/>
        <family val="2"/>
      </rPr>
      <t xml:space="preserve">光晕散射 </t>
    </r>
    <r>
      <rPr>
        <sz val="9"/>
        <color rgb="FF333333"/>
        <rFont val="Arial"/>
        <family val="0"/>
        <charset val="1"/>
      </rPr>
      <t xml:space="preserve">+ </t>
    </r>
    <r>
      <rPr>
        <sz val="9"/>
        <color rgb="FF333333"/>
        <rFont val="Noto Sans CJK SC"/>
        <family val="2"/>
      </rPr>
      <t xml:space="preserve">热对流 </t>
    </r>
    <r>
      <rPr>
        <sz val="9"/>
        <color rgb="FF333333"/>
        <rFont val="Arial"/>
        <family val="0"/>
        <charset val="1"/>
      </rPr>
      <t xml:space="preserve">+ </t>
    </r>
    <r>
      <rPr>
        <sz val="9"/>
        <color rgb="FF333333"/>
        <rFont val="Noto Sans CJK SC"/>
        <family val="2"/>
      </rPr>
      <t xml:space="preserve">空气浮力</t>
    </r>
  </si>
  <si>
    <t xml:space="preserve">花火の遅れ</t>
  </si>
  <si>
    <t xml:space="preserve">烟花的延迟</t>
  </si>
  <si>
    <r>
      <rPr>
        <sz val="9"/>
        <color rgb="FF333333"/>
        <rFont val="Noto Sans CJK SC"/>
        <family val="2"/>
      </rPr>
      <t xml:space="preserve">光速差 </t>
    </r>
    <r>
      <rPr>
        <sz val="9"/>
        <color rgb="FF333333"/>
        <rFont val="Arial"/>
        <family val="0"/>
        <charset val="1"/>
      </rPr>
      <t xml:space="preserve">+ </t>
    </r>
    <r>
      <rPr>
        <sz val="9"/>
        <color rgb="FF333333"/>
        <rFont val="Noto Sans CJK SC"/>
        <family val="2"/>
      </rPr>
      <t xml:space="preserve">声速 </t>
    </r>
    <r>
      <rPr>
        <sz val="9"/>
        <color rgb="FF333333"/>
        <rFont val="Arial"/>
        <family val="0"/>
        <charset val="1"/>
      </rPr>
      <t xml:space="preserve">+ </t>
    </r>
    <r>
      <rPr>
        <sz val="9"/>
        <color rgb="FF333333"/>
        <rFont val="Noto Sans CJK SC"/>
        <family val="2"/>
      </rPr>
      <t xml:space="preserve">测距计算</t>
    </r>
  </si>
  <si>
    <r>
      <rPr>
        <sz val="10"/>
        <rFont val="Noto Sans CJK SC"/>
        <family val="2"/>
      </rPr>
      <t xml:space="preserve">微观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实验</t>
    </r>
  </si>
  <si>
    <t xml:space="preserve">体育祭の白線</t>
  </si>
  <si>
    <t xml:space="preserve">运动会的白线</t>
  </si>
  <si>
    <r>
      <rPr>
        <sz val="10"/>
        <rFont val="Noto Sans CJK SC"/>
        <family val="2"/>
      </rPr>
      <t xml:space="preserve">季节特别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校园</t>
    </r>
  </si>
  <si>
    <r>
      <rPr>
        <sz val="10"/>
        <rFont val="Arial"/>
        <family val="0"/>
        <charset val="1"/>
      </rPr>
      <t xml:space="preserve">9</t>
    </r>
    <r>
      <rPr>
        <sz val="10"/>
        <rFont val="Noto Sans CJK SC"/>
        <family val="2"/>
      </rPr>
      <t xml:space="preserve">月运动会</t>
    </r>
  </si>
  <si>
    <r>
      <rPr>
        <sz val="9"/>
        <color rgb="FF333333"/>
        <rFont val="Noto Sans CJK SC"/>
        <family val="2"/>
      </rPr>
      <t xml:space="preserve">直线测放 </t>
    </r>
    <r>
      <rPr>
        <sz val="9"/>
        <color rgb="FF333333"/>
        <rFont val="Arial"/>
        <family val="0"/>
        <charset val="1"/>
      </rPr>
      <t xml:space="preserve">+ </t>
    </r>
    <r>
      <rPr>
        <sz val="9"/>
        <color rgb="FF333333"/>
        <rFont val="Noto Sans CJK SC"/>
        <family val="2"/>
      </rPr>
      <t xml:space="preserve">石灰反应 </t>
    </r>
    <r>
      <rPr>
        <sz val="9"/>
        <color rgb="FF333333"/>
        <rFont val="Arial"/>
        <family val="0"/>
        <charset val="1"/>
      </rPr>
      <t xml:space="preserve">+ </t>
    </r>
    <r>
      <rPr>
        <sz val="9"/>
        <color rgb="FF333333"/>
        <rFont val="Noto Sans CJK SC"/>
        <family val="2"/>
      </rPr>
      <t xml:space="preserve">粉末附着</t>
    </r>
  </si>
  <si>
    <t xml:space="preserve">落ち葉の渦</t>
  </si>
  <si>
    <t xml:space="preserve">落叶的漩涡</t>
  </si>
  <si>
    <r>
      <rPr>
        <sz val="10"/>
        <rFont val="Noto Sans CJK SC"/>
        <family val="2"/>
      </rPr>
      <t xml:space="preserve">季节特别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秋</t>
    </r>
  </si>
  <si>
    <r>
      <rPr>
        <sz val="9"/>
        <color rgb="FF333333"/>
        <rFont val="Noto Sans CJK SC"/>
        <family val="2"/>
      </rPr>
      <t xml:space="preserve">卡门涡街 </t>
    </r>
    <r>
      <rPr>
        <sz val="9"/>
        <color rgb="FF333333"/>
        <rFont val="Arial"/>
        <family val="0"/>
        <charset val="1"/>
      </rPr>
      <t xml:space="preserve">+ </t>
    </r>
    <r>
      <rPr>
        <sz val="9"/>
        <color rgb="FF333333"/>
        <rFont val="Noto Sans CJK SC"/>
        <family val="2"/>
      </rPr>
      <t xml:space="preserve">涡流脱落 </t>
    </r>
    <r>
      <rPr>
        <sz val="9"/>
        <color rgb="FF333333"/>
        <rFont val="Arial"/>
        <family val="0"/>
        <charset val="1"/>
      </rPr>
      <t xml:space="preserve">+ </t>
    </r>
    <r>
      <rPr>
        <sz val="9"/>
        <color rgb="FF333333"/>
        <rFont val="Noto Sans CJK SC"/>
        <family val="2"/>
      </rPr>
      <t xml:space="preserve">风压</t>
    </r>
  </si>
  <si>
    <t xml:space="preserve">給食のゼリー</t>
  </si>
  <si>
    <t xml:space="preserve">给食的果冻</t>
  </si>
  <si>
    <r>
      <rPr>
        <sz val="10"/>
        <rFont val="Noto Sans CJK SC"/>
        <family val="2"/>
      </rPr>
      <t xml:space="preserve">主题专项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食品</t>
    </r>
  </si>
  <si>
    <r>
      <rPr>
        <sz val="9"/>
        <color rgb="FF333333"/>
        <rFont val="Noto Sans CJK SC"/>
        <family val="2"/>
      </rPr>
      <t xml:space="preserve">凝胶化 </t>
    </r>
    <r>
      <rPr>
        <sz val="9"/>
        <color rgb="FF333333"/>
        <rFont val="Arial"/>
        <family val="0"/>
        <charset val="1"/>
      </rPr>
      <t xml:space="preserve">+ </t>
    </r>
    <r>
      <rPr>
        <sz val="9"/>
        <color rgb="FF333333"/>
        <rFont val="Noto Sans CJK SC"/>
        <family val="2"/>
      </rPr>
      <t xml:space="preserve">温度控制 </t>
    </r>
    <r>
      <rPr>
        <sz val="9"/>
        <color rgb="FF333333"/>
        <rFont val="Arial"/>
        <family val="0"/>
        <charset val="1"/>
      </rPr>
      <t xml:space="preserve">+ </t>
    </r>
    <r>
      <rPr>
        <sz val="9"/>
        <color rgb="FF333333"/>
        <rFont val="Noto Sans CJK SC"/>
        <family val="2"/>
      </rPr>
      <t xml:space="preserve">蛋白酶</t>
    </r>
  </si>
  <si>
    <t xml:space="preserve">図書室の迷子本</t>
  </si>
  <si>
    <t xml:space="preserve">图书室的迷路书</t>
  </si>
  <si>
    <r>
      <rPr>
        <sz val="10"/>
        <rFont val="Noto Sans CJK SC"/>
        <family val="2"/>
      </rPr>
      <t xml:space="preserve">主题专项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图书馆学</t>
    </r>
  </si>
  <si>
    <t xml:space="preserve">瑆</t>
  </si>
  <si>
    <t xml:space="preserve">图书馆学</t>
  </si>
  <si>
    <t xml:space="preserve">逻辑</t>
  </si>
  <si>
    <t xml:space="preserve">心理</t>
  </si>
  <si>
    <r>
      <rPr>
        <sz val="9"/>
        <color rgb="FF333333"/>
        <rFont val="Noto Sans CJK SC"/>
        <family val="2"/>
      </rPr>
      <t xml:space="preserve">借阅行为 </t>
    </r>
    <r>
      <rPr>
        <sz val="9"/>
        <color rgb="FF333333"/>
        <rFont val="Arial"/>
        <family val="0"/>
        <charset val="1"/>
      </rPr>
      <t xml:space="preserve">+ </t>
    </r>
    <r>
      <rPr>
        <sz val="9"/>
        <color rgb="FF333333"/>
        <rFont val="Noto Sans CJK SC"/>
        <family val="2"/>
      </rPr>
      <t xml:space="preserve">图书分类 </t>
    </r>
    <r>
      <rPr>
        <sz val="9"/>
        <color rgb="FF333333"/>
        <rFont val="Arial"/>
        <family val="0"/>
        <charset val="1"/>
      </rPr>
      <t xml:space="preserve">+ </t>
    </r>
    <r>
      <rPr>
        <sz val="9"/>
        <color rgb="FF333333"/>
        <rFont val="Noto Sans CJK SC"/>
        <family val="2"/>
      </rPr>
      <t xml:space="preserve">索书号系统</t>
    </r>
  </si>
  <si>
    <r>
      <rPr>
        <sz val="10"/>
        <rFont val="Noto Sans CJK SC"/>
        <family val="2"/>
      </rPr>
      <t xml:space="preserve">人际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逻辑</t>
    </r>
  </si>
  <si>
    <t xml:space="preserve">自由研究の失敗</t>
  </si>
  <si>
    <t xml:space="preserve">自由研究的失败</t>
  </si>
  <si>
    <r>
      <rPr>
        <sz val="10"/>
        <rFont val="Noto Sans CJK SC"/>
        <family val="2"/>
      </rPr>
      <t xml:space="preserve">季节特别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暑假</t>
    </r>
  </si>
  <si>
    <t xml:space="preserve">实验方法</t>
  </si>
  <si>
    <r>
      <rPr>
        <sz val="9"/>
        <color rgb="FF333333"/>
        <rFont val="Noto Sans CJK SC"/>
        <family val="2"/>
      </rPr>
      <t xml:space="preserve">实验误差 </t>
    </r>
    <r>
      <rPr>
        <sz val="9"/>
        <color rgb="FF333333"/>
        <rFont val="Arial"/>
        <family val="0"/>
        <charset val="1"/>
      </rPr>
      <t xml:space="preserve">+ </t>
    </r>
    <r>
      <rPr>
        <sz val="9"/>
        <color rgb="FF333333"/>
        <rFont val="Noto Sans CJK SC"/>
        <family val="2"/>
      </rPr>
      <t xml:space="preserve">对照实验 </t>
    </r>
    <r>
      <rPr>
        <sz val="9"/>
        <color rgb="FF333333"/>
        <rFont val="Arial"/>
        <family val="0"/>
        <charset val="1"/>
      </rPr>
      <t xml:space="preserve">+ </t>
    </r>
    <r>
      <rPr>
        <sz val="9"/>
        <color rgb="FF333333"/>
        <rFont val="Noto Sans CJK SC"/>
        <family val="2"/>
      </rPr>
      <t xml:space="preserve">概率思维</t>
    </r>
  </si>
  <si>
    <t xml:space="preserve">雪の朝の足跡</t>
  </si>
  <si>
    <t xml:space="preserve">雪天早晨的脚印</t>
  </si>
  <si>
    <r>
      <rPr>
        <sz val="10"/>
        <rFont val="Noto Sans CJK SC"/>
        <family val="2"/>
      </rPr>
      <t xml:space="preserve">季节特别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冬</t>
    </r>
  </si>
  <si>
    <t xml:space="preserve">物态</t>
  </si>
  <si>
    <r>
      <rPr>
        <sz val="9"/>
        <color rgb="FF333333"/>
        <rFont val="Noto Sans CJK SC"/>
        <family val="2"/>
      </rPr>
      <t xml:space="preserve">压力融化 </t>
    </r>
    <r>
      <rPr>
        <sz val="9"/>
        <color rgb="FF333333"/>
        <rFont val="Arial"/>
        <family val="0"/>
        <charset val="1"/>
      </rPr>
      <t xml:space="preserve">+ </t>
    </r>
    <r>
      <rPr>
        <sz val="9"/>
        <color rgb="FF333333"/>
        <rFont val="Noto Sans CJK SC"/>
        <family val="2"/>
      </rPr>
      <t xml:space="preserve">痕迹错视 </t>
    </r>
    <r>
      <rPr>
        <sz val="9"/>
        <color rgb="FF333333"/>
        <rFont val="Arial"/>
        <family val="0"/>
        <charset val="1"/>
      </rPr>
      <t xml:space="preserve">+ </t>
    </r>
    <r>
      <rPr>
        <sz val="9"/>
        <color rgb="FF333333"/>
        <rFont val="Noto Sans CJK SC"/>
        <family val="2"/>
      </rPr>
      <t xml:space="preserve">雪面热传导</t>
    </r>
  </si>
  <si>
    <t xml:space="preserve">風の日の窓</t>
  </si>
  <si>
    <t xml:space="preserve">刮风天的窗户</t>
  </si>
  <si>
    <r>
      <rPr>
        <sz val="10"/>
        <rFont val="Noto Sans CJK SC"/>
        <family val="2"/>
      </rPr>
      <t xml:space="preserve">主题专项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建筑物理</t>
    </r>
  </si>
  <si>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月春一番</t>
    </r>
  </si>
  <si>
    <r>
      <rPr>
        <sz val="9"/>
        <color rgb="FF333333"/>
        <rFont val="Noto Sans CJK SC"/>
        <family val="2"/>
      </rPr>
      <t xml:space="preserve">伯努利效应 </t>
    </r>
    <r>
      <rPr>
        <sz val="9"/>
        <color rgb="FF333333"/>
        <rFont val="Arial"/>
        <family val="0"/>
        <charset val="1"/>
      </rPr>
      <t xml:space="preserve">+ </t>
    </r>
    <r>
      <rPr>
        <sz val="9"/>
        <color rgb="FF333333"/>
        <rFont val="Noto Sans CJK SC"/>
        <family val="2"/>
      </rPr>
      <t xml:space="preserve">建筑风压 </t>
    </r>
    <r>
      <rPr>
        <sz val="9"/>
        <color rgb="FF333333"/>
        <rFont val="Arial"/>
        <family val="0"/>
        <charset val="1"/>
      </rPr>
      <t xml:space="preserve">+ </t>
    </r>
    <r>
      <rPr>
        <sz val="9"/>
        <color rgb="FF333333"/>
        <rFont val="Noto Sans CJK SC"/>
        <family val="2"/>
      </rPr>
      <t xml:space="preserve">缝隙啸声</t>
    </r>
  </si>
  <si>
    <t xml:space="preserve">古いラジオの声</t>
  </si>
  <si>
    <t xml:space="preserve">旧收音机的杂音</t>
  </si>
  <si>
    <r>
      <rPr>
        <sz val="10"/>
        <rFont val="Noto Sans CJK SC"/>
        <family val="2"/>
      </rPr>
      <t xml:space="preserve">主题专项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电</t>
    </r>
  </si>
  <si>
    <r>
      <rPr>
        <sz val="9"/>
        <color rgb="FF333333"/>
        <rFont val="Noto Sans CJK SC"/>
        <family val="2"/>
      </rPr>
      <t xml:space="preserve">天线接收 </t>
    </r>
    <r>
      <rPr>
        <sz val="9"/>
        <color rgb="FF333333"/>
        <rFont val="Arial"/>
        <family val="0"/>
        <charset val="1"/>
      </rPr>
      <t xml:space="preserve">+ </t>
    </r>
    <r>
      <rPr>
        <sz val="9"/>
        <color rgb="FF333333"/>
        <rFont val="Noto Sans CJK SC"/>
        <family val="2"/>
      </rPr>
      <t xml:space="preserve">无线电串扰 </t>
    </r>
    <r>
      <rPr>
        <sz val="9"/>
        <color rgb="FF333333"/>
        <rFont val="Arial"/>
        <family val="0"/>
        <charset val="1"/>
      </rPr>
      <t xml:space="preserve">+ </t>
    </r>
    <r>
      <rPr>
        <sz val="9"/>
        <color rgb="FF333333"/>
        <rFont val="Noto Sans CJK SC"/>
        <family val="2"/>
      </rPr>
      <t xml:space="preserve">电磁屏蔽</t>
    </r>
  </si>
  <si>
    <t xml:space="preserve">色が違う絵</t>
  </si>
  <si>
    <t xml:space="preserve">颜色不对的画</t>
  </si>
  <si>
    <r>
      <rPr>
        <sz val="10"/>
        <rFont val="Arial"/>
        <family val="0"/>
        <charset val="1"/>
      </rPr>
      <t xml:space="preserve">II </t>
    </r>
    <r>
      <rPr>
        <sz val="10"/>
        <rFont val="Noto Sans CJK SC"/>
        <family val="2"/>
      </rPr>
      <t xml:space="preserve">感知期</t>
    </r>
  </si>
  <si>
    <r>
      <rPr>
        <sz val="10"/>
        <rFont val="Noto Sans CJK SC"/>
        <family val="2"/>
      </rPr>
      <t xml:space="preserve">主题专项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感知</t>
    </r>
  </si>
  <si>
    <r>
      <rPr>
        <sz val="10"/>
        <rFont val="Noto Sans CJK SC"/>
        <family val="2"/>
      </rPr>
      <t xml:space="preserve">理紗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慧美</t>
    </r>
  </si>
  <si>
    <r>
      <rPr>
        <sz val="10"/>
        <rFont val="Noto Sans CJK SC"/>
        <family val="2"/>
      </rPr>
      <t xml:space="preserve">光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慧美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志郎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珣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理紗（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瑆 笔记）</t>
    </r>
  </si>
  <si>
    <r>
      <rPr>
        <sz val="9"/>
        <color rgb="FF333333"/>
        <rFont val="Noto Sans CJK SC"/>
        <family val="2"/>
      </rPr>
      <t xml:space="preserve">条件等色 </t>
    </r>
    <r>
      <rPr>
        <sz val="9"/>
        <color rgb="FF333333"/>
        <rFont val="Arial"/>
        <family val="0"/>
        <charset val="1"/>
      </rPr>
      <t xml:space="preserve">+ </t>
    </r>
    <r>
      <rPr>
        <sz val="9"/>
        <color rgb="FF333333"/>
        <rFont val="Noto Sans CJK SC"/>
        <family val="2"/>
      </rPr>
      <t xml:space="preserve">色彩恒常 </t>
    </r>
    <r>
      <rPr>
        <sz val="9"/>
        <color rgb="FF333333"/>
        <rFont val="Arial"/>
        <family val="0"/>
        <charset val="1"/>
      </rPr>
      <t xml:space="preserve">+ </t>
    </r>
    <r>
      <rPr>
        <sz val="9"/>
        <color rgb="FF333333"/>
        <rFont val="Noto Sans CJK SC"/>
        <family val="2"/>
      </rPr>
      <t xml:space="preserve">色温</t>
    </r>
  </si>
  <si>
    <r>
      <rPr>
        <sz val="10"/>
        <rFont val="Noto Sans CJK SC"/>
        <family val="2"/>
      </rPr>
      <t xml:space="preserve">感知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实验</t>
    </r>
  </si>
  <si>
    <t xml:space="preserve">理紗入社</t>
  </si>
  <si>
    <t xml:space="preserve">聞こえないノック</t>
  </si>
  <si>
    <t xml:space="preserve">听不见的敲门</t>
  </si>
  <si>
    <r>
      <rPr>
        <sz val="10"/>
        <rFont val="Noto Sans CJK SC"/>
        <family val="2"/>
      </rPr>
      <t xml:space="preserve">主题专项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声</t>
    </r>
  </si>
  <si>
    <r>
      <rPr>
        <sz val="10"/>
        <rFont val="Noto Sans CJK SC"/>
        <family val="2"/>
      </rPr>
      <t xml:space="preserve">理紗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珣</t>
    </r>
  </si>
  <si>
    <t xml:space="preserve">物理</t>
  </si>
  <si>
    <r>
      <rPr>
        <sz val="9"/>
        <color rgb="FF333333"/>
        <rFont val="Noto Sans CJK SC"/>
        <family val="2"/>
      </rPr>
      <t xml:space="preserve">听觉频率 </t>
    </r>
    <r>
      <rPr>
        <sz val="9"/>
        <color rgb="FF333333"/>
        <rFont val="Arial"/>
        <family val="0"/>
        <charset val="1"/>
      </rPr>
      <t xml:space="preserve">+ </t>
    </r>
    <r>
      <rPr>
        <sz val="9"/>
        <color rgb="FF333333"/>
        <rFont val="Noto Sans CJK SC"/>
        <family val="2"/>
      </rPr>
      <t xml:space="preserve">空腔共鸣 </t>
    </r>
    <r>
      <rPr>
        <sz val="9"/>
        <color rgb="FF333333"/>
        <rFont val="Arial"/>
        <family val="0"/>
        <charset val="1"/>
      </rPr>
      <t xml:space="preserve">+ </t>
    </r>
    <r>
      <rPr>
        <sz val="9"/>
        <color rgb="FF333333"/>
        <rFont val="Noto Sans CJK SC"/>
        <family val="2"/>
      </rPr>
      <t xml:space="preserve">超声波</t>
    </r>
  </si>
  <si>
    <r>
      <rPr>
        <sz val="10"/>
        <rFont val="Noto Sans CJK SC"/>
        <family val="2"/>
      </rPr>
      <t xml:space="preserve">感知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微观</t>
    </r>
  </si>
  <si>
    <t xml:space="preserve">鏡の中の文字</t>
  </si>
  <si>
    <t xml:space="preserve">镜中的文字</t>
  </si>
  <si>
    <r>
      <rPr>
        <sz val="10"/>
        <rFont val="Noto Sans CJK SC"/>
        <family val="2"/>
      </rPr>
      <t xml:space="preserve">主题专项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光</t>
    </r>
  </si>
  <si>
    <r>
      <rPr>
        <sz val="9"/>
        <color rgb="FF333333"/>
        <rFont val="Noto Sans CJK SC"/>
        <family val="2"/>
      </rPr>
      <t xml:space="preserve">左右镜像 </t>
    </r>
    <r>
      <rPr>
        <sz val="9"/>
        <color rgb="FF333333"/>
        <rFont val="Arial"/>
        <family val="0"/>
        <charset val="1"/>
      </rPr>
      <t xml:space="preserve">+ </t>
    </r>
    <r>
      <rPr>
        <sz val="9"/>
        <color rgb="FF333333"/>
        <rFont val="Noto Sans CJK SC"/>
        <family val="2"/>
      </rPr>
      <t xml:space="preserve">空间认知 </t>
    </r>
    <r>
      <rPr>
        <sz val="9"/>
        <color rgb="FF333333"/>
        <rFont val="Arial"/>
        <family val="0"/>
        <charset val="1"/>
      </rPr>
      <t xml:space="preserve">+ </t>
    </r>
    <r>
      <rPr>
        <sz val="9"/>
        <color rgb="FF333333"/>
        <rFont val="Noto Sans CJK SC"/>
        <family val="2"/>
      </rPr>
      <t xml:space="preserve">镜面反射</t>
    </r>
  </si>
  <si>
    <t xml:space="preserve">にじむ夕焼け</t>
  </si>
  <si>
    <t xml:space="preserve">晕开的晚霞</t>
  </si>
  <si>
    <r>
      <rPr>
        <sz val="10"/>
        <rFont val="Noto Sans CJK SC"/>
        <family val="2"/>
      </rPr>
      <t xml:space="preserve">主题专项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气象光</t>
    </r>
  </si>
  <si>
    <r>
      <rPr>
        <sz val="9"/>
        <color rgb="FF333333"/>
        <rFont val="Noto Sans CJK SC"/>
        <family val="2"/>
      </rPr>
      <t xml:space="preserve">大气色散 </t>
    </r>
    <r>
      <rPr>
        <sz val="9"/>
        <color rgb="FF333333"/>
        <rFont val="Arial"/>
        <family val="0"/>
        <charset val="1"/>
      </rPr>
      <t xml:space="preserve">+ </t>
    </r>
    <r>
      <rPr>
        <sz val="9"/>
        <color rgb="FF333333"/>
        <rFont val="Noto Sans CJK SC"/>
        <family val="2"/>
      </rPr>
      <t xml:space="preserve">瑞利散射 </t>
    </r>
    <r>
      <rPr>
        <sz val="9"/>
        <color rgb="FF333333"/>
        <rFont val="Arial"/>
        <family val="0"/>
        <charset val="1"/>
      </rPr>
      <t xml:space="preserve">+ </t>
    </r>
    <r>
      <rPr>
        <sz val="9"/>
        <color rgb="FF333333"/>
        <rFont val="Noto Sans CJK SC"/>
        <family val="2"/>
      </rPr>
      <t xml:space="preserve">雾汽散射</t>
    </r>
  </si>
  <si>
    <t xml:space="preserve">動かない秒針</t>
  </si>
  <si>
    <t xml:space="preserve">不动的秒针</t>
  </si>
  <si>
    <r>
      <rPr>
        <sz val="10"/>
        <rFont val="Noto Sans CJK SC"/>
        <family val="2"/>
      </rPr>
      <t xml:space="preserve">主题专项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感知光</t>
    </r>
  </si>
  <si>
    <r>
      <rPr>
        <sz val="9"/>
        <color rgb="FF333333"/>
        <rFont val="Noto Sans CJK SC"/>
        <family val="2"/>
      </rPr>
      <t xml:space="preserve">周期同步 </t>
    </r>
    <r>
      <rPr>
        <sz val="9"/>
        <color rgb="FF333333"/>
        <rFont val="Arial"/>
        <family val="0"/>
        <charset val="1"/>
      </rPr>
      <t xml:space="preserve">+ </t>
    </r>
    <r>
      <rPr>
        <sz val="9"/>
        <color rgb="FF333333"/>
        <rFont val="Noto Sans CJK SC"/>
        <family val="2"/>
      </rPr>
      <t xml:space="preserve">视觉暂留 </t>
    </r>
    <r>
      <rPr>
        <sz val="9"/>
        <color rgb="FF333333"/>
        <rFont val="Arial"/>
        <family val="0"/>
        <charset val="1"/>
      </rPr>
      <t xml:space="preserve">+ </t>
    </r>
    <r>
      <rPr>
        <sz val="9"/>
        <color rgb="FF333333"/>
        <rFont val="Noto Sans CJK SC"/>
        <family val="2"/>
      </rPr>
      <t xml:space="preserve">频闪错觉</t>
    </r>
  </si>
  <si>
    <t xml:space="preserve">影が二つ</t>
  </si>
  <si>
    <t xml:space="preserve">两个影子</t>
  </si>
  <si>
    <r>
      <rPr>
        <sz val="9"/>
        <color rgb="FF333333"/>
        <rFont val="Noto Sans CJK SC"/>
        <family val="2"/>
      </rPr>
      <t xml:space="preserve">投影叠加 </t>
    </r>
    <r>
      <rPr>
        <sz val="9"/>
        <color rgb="FF333333"/>
        <rFont val="Arial"/>
        <family val="0"/>
        <charset val="1"/>
      </rPr>
      <t xml:space="preserve">+ </t>
    </r>
    <r>
      <rPr>
        <sz val="9"/>
        <color rgb="FF333333"/>
        <rFont val="Noto Sans CJK SC"/>
        <family val="2"/>
      </rPr>
      <t xml:space="preserve">本影半影 </t>
    </r>
    <r>
      <rPr>
        <sz val="9"/>
        <color rgb="FF333333"/>
        <rFont val="Arial"/>
        <family val="0"/>
        <charset val="1"/>
      </rPr>
      <t xml:space="preserve">+ </t>
    </r>
    <r>
      <rPr>
        <sz val="9"/>
        <color rgb="FF333333"/>
        <rFont val="Noto Sans CJK SC"/>
        <family val="2"/>
      </rPr>
      <t xml:space="preserve">点光源阵列</t>
    </r>
  </si>
  <si>
    <t xml:space="preserve">透明な膜の色</t>
  </si>
  <si>
    <t xml:space="preserve">透明膜的颜色</t>
  </si>
  <si>
    <r>
      <rPr>
        <sz val="10"/>
        <rFont val="Noto Sans CJK SC"/>
        <family val="2"/>
      </rPr>
      <t xml:space="preserve">主题专项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光材料</t>
    </r>
  </si>
  <si>
    <r>
      <rPr>
        <sz val="9"/>
        <color rgb="FF333333"/>
        <rFont val="Noto Sans CJK SC"/>
        <family val="2"/>
      </rPr>
      <t xml:space="preserve">折射率 </t>
    </r>
    <r>
      <rPr>
        <sz val="9"/>
        <color rgb="FF333333"/>
        <rFont val="Arial"/>
        <family val="0"/>
        <charset val="1"/>
      </rPr>
      <t xml:space="preserve">+ </t>
    </r>
    <r>
      <rPr>
        <sz val="9"/>
        <color rgb="FF333333"/>
        <rFont val="Noto Sans CJK SC"/>
        <family val="2"/>
      </rPr>
      <t xml:space="preserve">膜厚 </t>
    </r>
    <r>
      <rPr>
        <sz val="9"/>
        <color rgb="FF333333"/>
        <rFont val="Arial"/>
        <family val="0"/>
        <charset val="1"/>
      </rPr>
      <t xml:space="preserve">+ </t>
    </r>
    <r>
      <rPr>
        <sz val="9"/>
        <color rgb="FF333333"/>
        <rFont val="Noto Sans CJK SC"/>
        <family val="2"/>
      </rPr>
      <t xml:space="preserve">薄膜干涉</t>
    </r>
  </si>
  <si>
    <t xml:space="preserve">凍る池の音</t>
  </si>
  <si>
    <t xml:space="preserve">结冰池塘的声音</t>
  </si>
  <si>
    <r>
      <rPr>
        <sz val="9"/>
        <color rgb="FF333333"/>
        <rFont val="Noto Sans CJK SC"/>
        <family val="2"/>
      </rPr>
      <t xml:space="preserve">低温传声 </t>
    </r>
    <r>
      <rPr>
        <sz val="9"/>
        <color rgb="FF333333"/>
        <rFont val="Arial"/>
        <family val="0"/>
        <charset val="1"/>
      </rPr>
      <t xml:space="preserve">+ </t>
    </r>
    <r>
      <rPr>
        <sz val="9"/>
        <color rgb="FF333333"/>
        <rFont val="Noto Sans CJK SC"/>
        <family val="2"/>
      </rPr>
      <t xml:space="preserve">冰层振动 </t>
    </r>
    <r>
      <rPr>
        <sz val="9"/>
        <color rgb="FF333333"/>
        <rFont val="Arial"/>
        <family val="0"/>
        <charset val="1"/>
      </rPr>
      <t xml:space="preserve">+ </t>
    </r>
    <r>
      <rPr>
        <sz val="9"/>
        <color rgb="FF333333"/>
        <rFont val="Noto Sans CJK SC"/>
        <family val="2"/>
      </rPr>
      <t xml:space="preserve">热胀冷缩</t>
    </r>
  </si>
  <si>
    <t xml:space="preserve">曲がって見える線路</t>
  </si>
  <si>
    <t xml:space="preserve">看起来弯的铁轨</t>
  </si>
  <si>
    <r>
      <rPr>
        <sz val="10"/>
        <rFont val="Noto Sans CJK SC"/>
        <family val="2"/>
      </rPr>
      <t xml:space="preserve">城市特典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感知</t>
    </r>
  </si>
  <si>
    <r>
      <rPr>
        <sz val="9"/>
        <color rgb="FF333333"/>
        <rFont val="Noto Sans CJK SC"/>
        <family val="2"/>
      </rPr>
      <t xml:space="preserve">热气折射 </t>
    </r>
    <r>
      <rPr>
        <sz val="9"/>
        <color rgb="FF333333"/>
        <rFont val="Arial"/>
        <family val="0"/>
        <charset val="1"/>
      </rPr>
      <t xml:space="preserve">+ </t>
    </r>
    <r>
      <rPr>
        <sz val="9"/>
        <color rgb="FF333333"/>
        <rFont val="Noto Sans CJK SC"/>
        <family val="2"/>
      </rPr>
      <t xml:space="preserve">距离错视 </t>
    </r>
    <r>
      <rPr>
        <sz val="9"/>
        <color rgb="FF333333"/>
        <rFont val="Arial"/>
        <family val="0"/>
        <charset val="1"/>
      </rPr>
      <t xml:space="preserve">+ </t>
    </r>
    <r>
      <rPr>
        <sz val="9"/>
        <color rgb="FF333333"/>
        <rFont val="Noto Sans CJK SC"/>
        <family val="2"/>
      </rPr>
      <t xml:space="preserve">透视收敛</t>
    </r>
  </si>
  <si>
    <t xml:space="preserve">葛西さんの古写真</t>
  </si>
  <si>
    <t xml:space="preserve">葛西爷爷的旧照片</t>
  </si>
  <si>
    <t xml:space="preserve">范式深化</t>
  </si>
  <si>
    <r>
      <rPr>
        <sz val="10"/>
        <rFont val="Noto Sans CJK SC"/>
        <family val="2"/>
      </rPr>
      <t xml:space="preserve">社区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长线</t>
    </r>
  </si>
  <si>
    <r>
      <rPr>
        <sz val="10"/>
        <rFont val="Noto Sans CJK SC"/>
        <family val="2"/>
      </rPr>
      <t xml:space="preserve">葛西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瑆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理紗</t>
    </r>
  </si>
  <si>
    <r>
      <rPr>
        <sz val="10"/>
        <rFont val="Noto Sans CJK SC"/>
        <family val="2"/>
      </rPr>
      <t xml:space="preserve">光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慧美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志郎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珣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理紗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葛西（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瑆 主笔）</t>
    </r>
  </si>
  <si>
    <r>
      <rPr>
        <sz val="9"/>
        <color rgb="FF333333"/>
        <rFont val="Noto Sans CJK SC"/>
        <family val="2"/>
      </rPr>
      <t xml:space="preserve">城市变迁 </t>
    </r>
    <r>
      <rPr>
        <sz val="9"/>
        <color rgb="FF333333"/>
        <rFont val="Arial"/>
        <family val="0"/>
        <charset val="1"/>
      </rPr>
      <t xml:space="preserve">+ </t>
    </r>
    <r>
      <rPr>
        <sz val="9"/>
        <color rgb="FF333333"/>
        <rFont val="Noto Sans CJK SC"/>
        <family val="2"/>
      </rPr>
      <t xml:space="preserve">照片褪色 </t>
    </r>
    <r>
      <rPr>
        <sz val="9"/>
        <color rgb="FF333333"/>
        <rFont val="Arial"/>
        <family val="0"/>
        <charset val="1"/>
      </rPr>
      <t xml:space="preserve">+ </t>
    </r>
    <r>
      <rPr>
        <sz val="9"/>
        <color rgb="FF333333"/>
        <rFont val="Noto Sans CJK SC"/>
        <family val="2"/>
      </rPr>
      <t xml:space="preserve">银盐化学</t>
    </r>
  </si>
  <si>
    <r>
      <rPr>
        <sz val="10"/>
        <rFont val="Noto Sans CJK SC"/>
        <family val="2"/>
      </rPr>
      <t xml:space="preserve">溯源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人际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感知</t>
    </r>
  </si>
  <si>
    <t xml:space="preserve">长线收束点①</t>
  </si>
  <si>
    <t xml:space="preserve">知识域</t>
  </si>
  <si>
    <r>
      <rPr>
        <b val="true"/>
        <sz val="10"/>
        <color rgb="FFFFFFFF"/>
        <rFont val="Noto Sans CJK SC"/>
        <family val="2"/>
      </rPr>
      <t xml:space="preserve">前</t>
    </r>
    <r>
      <rPr>
        <b val="true"/>
        <sz val="10"/>
        <color rgb="FFFFFFFF"/>
        <rFont val="Arial"/>
        <family val="0"/>
        <charset val="1"/>
      </rPr>
      <t xml:space="preserve">50</t>
    </r>
    <r>
      <rPr>
        <b val="true"/>
        <sz val="10"/>
        <color rgb="FFFFFFFF"/>
        <rFont val="Noto Sans CJK SC"/>
        <family val="2"/>
      </rPr>
      <t xml:space="preserve">篇出现次数</t>
    </r>
  </si>
  <si>
    <t xml:space="preserve">说明</t>
  </si>
  <si>
    <t xml:space="preserve">组合层去重，单域可在不同三元组中复现</t>
  </si>
  <si>
    <r>
      <rPr>
        <b val="true"/>
        <sz val="10"/>
        <rFont val="Noto Sans CJK SC"/>
        <family val="2"/>
      </rPr>
      <t xml:space="preserve">合计（应</t>
    </r>
    <r>
      <rPr>
        <b val="true"/>
        <sz val="10"/>
        <rFont val="Arial"/>
        <family val="0"/>
        <charset val="1"/>
      </rPr>
      <t xml:space="preserve">=150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</si>
  <si>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2"/>
        <rFont val="Noto Sans CJK SC"/>
        <family val="2"/>
      </rPr>
      <t xml:space="preserve">《学堂奇事録》</t>
    </r>
    <r>
      <rPr>
        <b val="true"/>
        <sz val="12"/>
        <rFont val="Arial"/>
        <family val="0"/>
        <charset val="1"/>
      </rPr>
      <t xml:space="preserve">· </t>
    </r>
    <r>
      <rPr>
        <b val="true"/>
        <sz val="12"/>
        <rFont val="Noto Sans CJK SC"/>
        <family val="2"/>
      </rPr>
      <t xml:space="preserve">前</t>
    </r>
    <r>
      <rPr>
        <b val="true"/>
        <sz val="12"/>
        <rFont val="Arial"/>
        <family val="0"/>
        <charset val="1"/>
      </rPr>
      <t xml:space="preserve">50</t>
    </r>
    <r>
      <rPr>
        <b val="true"/>
        <sz val="12"/>
        <rFont val="Noto Sans CJK SC"/>
        <family val="2"/>
      </rPr>
      <t xml:space="preserve">篇原理去重台账</t>
    </r>
  </si>
  <si>
    <r>
      <rPr>
        <sz val="10"/>
        <rFont val="Noto Sans CJK SC"/>
        <family val="2"/>
      </rPr>
      <t xml:space="preserve">用途：主编逐案登记，强制保证「三原理组合在 </t>
    </r>
    <r>
      <rPr>
        <sz val="10"/>
        <rFont val="Arial"/>
        <family val="0"/>
        <charset val="1"/>
      </rPr>
      <t xml:space="preserve">200 </t>
    </r>
    <r>
      <rPr>
        <sz val="10"/>
        <rFont val="Noto Sans CJK SC"/>
        <family val="2"/>
      </rPr>
      <t xml:space="preserve">篇内不重复」。</t>
    </r>
  </si>
  <si>
    <t xml:space="preserve">列说明：</t>
  </si>
  <si>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三原理三元组（标准化）：三个核心原理按统一顺序排列后用 </t>
    </r>
    <r>
      <rPr>
        <sz val="10"/>
        <rFont val="Arial"/>
        <family val="0"/>
        <charset val="1"/>
      </rPr>
      <t xml:space="preserve">+  </t>
    </r>
    <r>
      <rPr>
        <sz val="10"/>
        <rFont val="Noto Sans CJK SC"/>
        <family val="2"/>
      </rPr>
      <t xml:space="preserve">连接，是去重的唯一键。</t>
    </r>
  </si>
  <si>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重复校验：</t>
    </r>
    <r>
      <rPr>
        <sz val="10"/>
        <rFont val="Arial"/>
        <family val="0"/>
        <charset val="1"/>
      </rPr>
      <t xml:space="preserve">=COUNTIF </t>
    </r>
    <r>
      <rPr>
        <sz val="10"/>
        <rFont val="Noto Sans CJK SC"/>
        <family val="2"/>
      </rPr>
      <t xml:space="preserve">自动比对全表；显示「唯一」即合格，「⚠ 重复」需改写谜题机制。</t>
    </r>
  </si>
  <si>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知识域为「组合层」去重——单个域（如气象、光学）可在不同三元组中复现，三元组本身唯一即可。</t>
    </r>
  </si>
  <si>
    <r>
      <rPr>
        <b val="true"/>
        <sz val="10"/>
        <rFont val="Noto Sans CJK SC"/>
        <family val="2"/>
      </rPr>
      <t xml:space="preserve">新增第 </t>
    </r>
    <r>
      <rPr>
        <b val="true"/>
        <sz val="10"/>
        <rFont val="Arial"/>
        <family val="0"/>
        <charset val="1"/>
      </rPr>
      <t xml:space="preserve">51 </t>
    </r>
    <r>
      <rPr>
        <b val="true"/>
        <sz val="10"/>
        <rFont val="Noto Sans CJK SC"/>
        <family val="2"/>
      </rPr>
      <t xml:space="preserve">篇及以后的流程：</t>
    </r>
  </si>
  <si>
    <r>
      <rPr>
        <sz val="10"/>
        <rFont val="Arial"/>
        <family val="0"/>
        <charset val="1"/>
      </rPr>
      <t xml:space="preserve">1. </t>
    </r>
    <r>
      <rPr>
        <sz val="10"/>
        <rFont val="Noto Sans CJK SC"/>
        <family val="2"/>
      </rPr>
      <t xml:space="preserve">先确定该案的三个核心原理，按拼音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笔画统一排序写入「三原理三元组」列。</t>
    </r>
  </si>
  <si>
    <r>
      <rPr>
        <sz val="10"/>
        <rFont val="Arial"/>
        <family val="0"/>
        <charset val="1"/>
      </rPr>
      <t xml:space="preserve">2. </t>
    </r>
    <r>
      <rPr>
        <sz val="10"/>
        <rFont val="Noto Sans CJK SC"/>
        <family val="2"/>
      </rPr>
      <t xml:space="preserve">向下复制「重复校验」公式，并把公式内的 </t>
    </r>
    <r>
      <rPr>
        <sz val="10"/>
        <rFont val="Arial"/>
        <family val="0"/>
        <charset val="1"/>
      </rPr>
      <t xml:space="preserve">$M$2:$M$51 </t>
    </r>
    <r>
      <rPr>
        <sz val="10"/>
        <rFont val="Noto Sans CJK SC"/>
        <family val="2"/>
      </rPr>
      <t xml:space="preserve">范围扩展到新行。</t>
    </r>
  </si>
  <si>
    <r>
      <rPr>
        <sz val="10"/>
        <rFont val="Arial"/>
        <family val="0"/>
        <charset val="1"/>
      </rPr>
      <t xml:space="preserve">3. </t>
    </r>
    <r>
      <rPr>
        <sz val="10"/>
        <rFont val="Noto Sans CJK SC"/>
        <family val="2"/>
      </rPr>
      <t xml:space="preserve">若显示「⚠ 重复」，更换其中至少一个核心原理或改换载体场景。</t>
    </r>
  </si>
  <si>
    <r>
      <rPr>
        <sz val="10"/>
        <rFont val="Noto Sans CJK SC"/>
        <family val="2"/>
      </rPr>
      <t xml:space="preserve">非重复的可行性证明：约 </t>
    </r>
    <r>
      <rPr>
        <sz val="10"/>
        <rFont val="Arial"/>
        <family val="0"/>
        <charset val="1"/>
      </rPr>
      <t xml:space="preserve">24 </t>
    </r>
    <r>
      <rPr>
        <sz val="10"/>
        <rFont val="Noto Sans CJK SC"/>
        <family val="2"/>
      </rPr>
      <t xml:space="preserve">个知识域，三原理组合数 </t>
    </r>
    <r>
      <rPr>
        <sz val="10"/>
        <rFont val="Arial"/>
        <family val="0"/>
        <charset val="1"/>
      </rPr>
      <t xml:space="preserve">C(24,3)=2024 </t>
    </r>
    <r>
      <rPr>
        <sz val="10"/>
        <rFont val="Noto Sans CJK SC"/>
        <family val="2"/>
      </rPr>
      <t xml:space="preserve">种；</t>
    </r>
  </si>
  <si>
    <r>
      <rPr>
        <sz val="10"/>
        <rFont val="Noto Sans CJK SC"/>
        <family val="2"/>
      </rPr>
      <t xml:space="preserve">即便只保留对小学生有意义、可日常化、可家庭复现的约 </t>
    </r>
    <r>
      <rPr>
        <sz val="10"/>
        <rFont val="Arial"/>
        <family val="0"/>
        <charset val="1"/>
      </rPr>
      <t xml:space="preserve">15%</t>
    </r>
    <r>
      <rPr>
        <sz val="10"/>
        <rFont val="Noto Sans CJK SC"/>
        <family val="2"/>
      </rPr>
      <t xml:space="preserve">，也有约 </t>
    </r>
    <r>
      <rPr>
        <sz val="10"/>
        <rFont val="Arial"/>
        <family val="0"/>
        <charset val="1"/>
      </rPr>
      <t xml:space="preserve">300 </t>
    </r>
    <r>
      <rPr>
        <sz val="10"/>
        <rFont val="Noto Sans CJK SC"/>
        <family val="2"/>
      </rPr>
      <t xml:space="preserve">种 </t>
    </r>
    <r>
      <rPr>
        <sz val="10"/>
        <rFont val="Arial"/>
        <family val="0"/>
        <charset val="1"/>
      </rPr>
      <t xml:space="preserve">&gt; 200 </t>
    </r>
    <r>
      <rPr>
        <sz val="10"/>
        <rFont val="Noto Sans CJK SC"/>
        <family val="2"/>
      </rPr>
      <t xml:space="preserve">篇所需。</t>
    </r>
  </si>
  <si>
    <r>
      <rPr>
        <sz val="10"/>
        <rFont val="Noto Sans CJK SC"/>
        <family val="2"/>
      </rPr>
      <t xml:space="preserve">基线：项目正典 </t>
    </r>
    <r>
      <rPr>
        <sz val="10"/>
        <rFont val="Arial"/>
        <family val="0"/>
        <charset val="1"/>
      </rPr>
      <t xml:space="preserve">V1.0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2026-06-04</t>
    </r>
    <r>
      <rPr>
        <sz val="10"/>
        <rFont val="Noto Sans CJK SC"/>
        <family val="2"/>
      </rPr>
      <t xml:space="preserve">）。已剔除废弃角色「阿文」，其职能并入葛西全藏与陸珣。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</si>
</sst>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Noto Sans CJK SC"/>
      <family val="2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name val="Noto Sans CJK SC"/>
      <family val="2"/>
    </font>
    <font>
      <sz val="9"/>
      <color rgb="FF333333"/>
      <name val="Noto Sans CJK SC"/>
      <family val="2"/>
    </font>
    <font>
      <sz val="9"/>
      <color rgb="FF333333"/>
      <name val="Arial"/>
      <family val="0"/>
      <charset val="1"/>
    </font>
    <font>
      <b val="true"/>
      <sz val="10"/>
      <name val="Noto Sans CJK SC"/>
      <family val="2"/>
    </font>
    <font>
      <b val="true"/>
      <sz val="10"/>
      <name val="Arial"/>
      <family val="0"/>
      <charset val="1"/>
    </font>
    <font>
      <b val="true"/>
      <sz val="12"/>
      <name val="Noto Sans CJK SC"/>
      <family val="2"/>
    </font>
    <font>
      <b val="true"/>
      <sz val="12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333333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8"/>
    <col collapsed="false" customWidth="true" hidden="false" outlineLevel="0" max="3" min="3" style="0" width="16"/>
    <col collapsed="false" customWidth="true" hidden="false" outlineLevel="0" max="5" min="4" style="0" width="11"/>
    <col collapsed="false" customWidth="true" hidden="false" outlineLevel="0" max="6" min="6" style="0" width="18"/>
    <col collapsed="false" customWidth="true" hidden="false" outlineLevel="0" max="7" min="7" style="0" width="11"/>
    <col collapsed="false" customWidth="true" hidden="false" outlineLevel="0" max="8" min="8" style="0" width="14"/>
    <col collapsed="false" customWidth="true" hidden="false" outlineLevel="0" max="9" min="9" style="0" width="24"/>
    <col collapsed="false" customWidth="true" hidden="false" outlineLevel="0" max="12" min="10" style="0" width="11"/>
    <col collapsed="false" customWidth="true" hidden="false" outlineLevel="0" max="13" min="13" style="0" width="30"/>
    <col collapsed="false" customWidth="true" hidden="false" outlineLevel="0" max="14" min="14" style="0" width="12"/>
    <col collapsed="false" customWidth="true" hidden="false" outlineLevel="0" max="15" min="15" style="0" width="16"/>
    <col collapsed="false" customWidth="true" hidden="false" outlineLevel="0" max="16" min="16" style="0" width="11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customFormat="false" ht="15" hidden="false" customHeight="false" outlineLevel="0" collapsed="false">
      <c r="A2" s="2" t="n">
        <v>1</v>
      </c>
      <c r="B2" s="3" t="s">
        <v>16</v>
      </c>
      <c r="C2" s="3" t="s">
        <v>17</v>
      </c>
      <c r="D2" s="2" t="s">
        <v>18</v>
      </c>
      <c r="E2" s="4" t="s">
        <v>19</v>
      </c>
      <c r="F2" s="3" t="s">
        <v>20</v>
      </c>
      <c r="G2" s="2" t="s">
        <v>21</v>
      </c>
      <c r="H2" s="3" t="s">
        <v>22</v>
      </c>
      <c r="I2" s="3" t="s">
        <v>23</v>
      </c>
      <c r="J2" s="3" t="s">
        <v>24</v>
      </c>
      <c r="K2" s="3" t="s">
        <v>25</v>
      </c>
      <c r="L2" s="3" t="s">
        <v>26</v>
      </c>
      <c r="M2" s="5" t="s">
        <v>27</v>
      </c>
      <c r="N2" s="4" t="s">
        <v>28</v>
      </c>
      <c r="O2" s="3" t="s">
        <v>29</v>
      </c>
      <c r="P2" s="2" t="str">
        <f aca="false">IF(COUNTIF($M$2:$M$51,M2)&gt;1,"⚠ 重复","唯一")</f>
        <v>唯一</v>
      </c>
    </row>
    <row r="3" customFormat="false" ht="15" hidden="false" customHeight="false" outlineLevel="0" collapsed="false">
      <c r="A3" s="6" t="n">
        <v>2</v>
      </c>
      <c r="B3" s="7" t="s">
        <v>30</v>
      </c>
      <c r="C3" s="7" t="s">
        <v>31</v>
      </c>
      <c r="D3" s="6" t="s">
        <v>18</v>
      </c>
      <c r="E3" s="8" t="s">
        <v>19</v>
      </c>
      <c r="F3" s="7" t="s">
        <v>20</v>
      </c>
      <c r="G3" s="6" t="s">
        <v>32</v>
      </c>
      <c r="H3" s="7" t="s">
        <v>33</v>
      </c>
      <c r="I3" s="7" t="s">
        <v>23</v>
      </c>
      <c r="J3" s="7" t="s">
        <v>34</v>
      </c>
      <c r="K3" s="7" t="s">
        <v>35</v>
      </c>
      <c r="L3" s="7" t="s">
        <v>36</v>
      </c>
      <c r="M3" s="9" t="s">
        <v>37</v>
      </c>
      <c r="N3" s="8" t="s">
        <v>38</v>
      </c>
      <c r="O3" s="7"/>
      <c r="P3" s="6" t="str">
        <f aca="false">IF(COUNTIF($M$2:$M$51,M3)&gt;1,"⚠ 重复","唯一")</f>
        <v>唯一</v>
      </c>
    </row>
    <row r="4" customFormat="false" ht="15" hidden="false" customHeight="false" outlineLevel="0" collapsed="false">
      <c r="A4" s="6" t="n">
        <v>3</v>
      </c>
      <c r="B4" s="7" t="s">
        <v>39</v>
      </c>
      <c r="C4" s="7" t="s">
        <v>40</v>
      </c>
      <c r="D4" s="6" t="s">
        <v>18</v>
      </c>
      <c r="E4" s="8" t="s">
        <v>19</v>
      </c>
      <c r="F4" s="7" t="s">
        <v>41</v>
      </c>
      <c r="G4" s="6" t="s">
        <v>42</v>
      </c>
      <c r="H4" s="7" t="s">
        <v>43</v>
      </c>
      <c r="I4" s="7" t="s">
        <v>23</v>
      </c>
      <c r="J4" s="7" t="s">
        <v>44</v>
      </c>
      <c r="K4" s="7" t="s">
        <v>45</v>
      </c>
      <c r="L4" s="7" t="s">
        <v>26</v>
      </c>
      <c r="M4" s="9" t="s">
        <v>46</v>
      </c>
      <c r="N4" s="8" t="s">
        <v>47</v>
      </c>
      <c r="O4" s="7"/>
      <c r="P4" s="6" t="str">
        <f aca="false">IF(COUNTIF($M$2:$M$51,M4)&gt;1,"⚠ 重复","唯一")</f>
        <v>唯一</v>
      </c>
    </row>
    <row r="5" customFormat="false" ht="15" hidden="false" customHeight="false" outlineLevel="0" collapsed="false">
      <c r="A5" s="6" t="n">
        <v>4</v>
      </c>
      <c r="B5" s="7" t="s">
        <v>48</v>
      </c>
      <c r="C5" s="7" t="s">
        <v>49</v>
      </c>
      <c r="D5" s="6" t="s">
        <v>18</v>
      </c>
      <c r="E5" s="8" t="s">
        <v>19</v>
      </c>
      <c r="F5" s="7" t="s">
        <v>20</v>
      </c>
      <c r="G5" s="6" t="s">
        <v>50</v>
      </c>
      <c r="H5" s="7" t="s">
        <v>43</v>
      </c>
      <c r="I5" s="7" t="s">
        <v>23</v>
      </c>
      <c r="J5" s="7" t="s">
        <v>51</v>
      </c>
      <c r="K5" s="7" t="s">
        <v>52</v>
      </c>
      <c r="L5" s="7" t="s">
        <v>35</v>
      </c>
      <c r="M5" s="9" t="s">
        <v>53</v>
      </c>
      <c r="N5" s="8" t="s">
        <v>54</v>
      </c>
      <c r="O5" s="7"/>
      <c r="P5" s="6" t="str">
        <f aca="false">IF(COUNTIF($M$2:$M$51,M5)&gt;1,"⚠ 重复","唯一")</f>
        <v>唯一</v>
      </c>
    </row>
    <row r="6" customFormat="false" ht="15" hidden="false" customHeight="false" outlineLevel="0" collapsed="false">
      <c r="A6" s="6" t="n">
        <v>5</v>
      </c>
      <c r="B6" s="7" t="s">
        <v>55</v>
      </c>
      <c r="C6" s="7" t="s">
        <v>56</v>
      </c>
      <c r="D6" s="6" t="s">
        <v>18</v>
      </c>
      <c r="E6" s="8" t="s">
        <v>19</v>
      </c>
      <c r="F6" s="7" t="s">
        <v>41</v>
      </c>
      <c r="G6" s="6" t="s">
        <v>57</v>
      </c>
      <c r="H6" s="7" t="s">
        <v>58</v>
      </c>
      <c r="I6" s="7" t="s">
        <v>23</v>
      </c>
      <c r="J6" s="7" t="s">
        <v>59</v>
      </c>
      <c r="K6" s="7" t="s">
        <v>60</v>
      </c>
      <c r="L6" s="7" t="s">
        <v>61</v>
      </c>
      <c r="M6" s="9" t="s">
        <v>62</v>
      </c>
      <c r="N6" s="8" t="s">
        <v>63</v>
      </c>
      <c r="O6" s="7"/>
      <c r="P6" s="6" t="str">
        <f aca="false">IF(COUNTIF($M$2:$M$51,M6)&gt;1,"⚠ 重复","唯一")</f>
        <v>唯一</v>
      </c>
    </row>
    <row r="7" customFormat="false" ht="15" hidden="false" customHeight="false" outlineLevel="0" collapsed="false">
      <c r="A7" s="6" t="n">
        <v>6</v>
      </c>
      <c r="B7" s="7" t="s">
        <v>64</v>
      </c>
      <c r="C7" s="7" t="s">
        <v>65</v>
      </c>
      <c r="D7" s="6" t="s">
        <v>18</v>
      </c>
      <c r="E7" s="8" t="s">
        <v>19</v>
      </c>
      <c r="F7" s="7" t="s">
        <v>20</v>
      </c>
      <c r="G7" s="6" t="s">
        <v>66</v>
      </c>
      <c r="H7" s="7" t="s">
        <v>33</v>
      </c>
      <c r="I7" s="7" t="s">
        <v>23</v>
      </c>
      <c r="J7" s="7" t="s">
        <v>24</v>
      </c>
      <c r="K7" s="7" t="s">
        <v>67</v>
      </c>
      <c r="L7" s="7" t="s">
        <v>68</v>
      </c>
      <c r="M7" s="9" t="s">
        <v>69</v>
      </c>
      <c r="N7" s="8" t="s">
        <v>38</v>
      </c>
      <c r="O7" s="7"/>
      <c r="P7" s="6" t="str">
        <f aca="false">IF(COUNTIF($M$2:$M$51,M7)&gt;1,"⚠ 重复","唯一")</f>
        <v>唯一</v>
      </c>
    </row>
    <row r="8" customFormat="false" ht="15" hidden="false" customHeight="false" outlineLevel="0" collapsed="false">
      <c r="A8" s="6" t="n">
        <v>7</v>
      </c>
      <c r="B8" s="7" t="s">
        <v>70</v>
      </c>
      <c r="C8" s="7" t="s">
        <v>71</v>
      </c>
      <c r="D8" s="6" t="s">
        <v>18</v>
      </c>
      <c r="E8" s="8" t="s">
        <v>19</v>
      </c>
      <c r="F8" s="7" t="s">
        <v>72</v>
      </c>
      <c r="G8" s="6" t="s">
        <v>73</v>
      </c>
      <c r="H8" s="7" t="s">
        <v>43</v>
      </c>
      <c r="I8" s="7" t="s">
        <v>23</v>
      </c>
      <c r="J8" s="7" t="s">
        <v>74</v>
      </c>
      <c r="K8" s="7" t="s">
        <v>75</v>
      </c>
      <c r="L8" s="7" t="s">
        <v>45</v>
      </c>
      <c r="M8" s="9" t="s">
        <v>76</v>
      </c>
      <c r="N8" s="8" t="s">
        <v>54</v>
      </c>
      <c r="O8" s="7"/>
      <c r="P8" s="6" t="str">
        <f aca="false">IF(COUNTIF($M$2:$M$51,M8)&gt;1,"⚠ 重复","唯一")</f>
        <v>唯一</v>
      </c>
    </row>
    <row r="9" customFormat="false" ht="15" hidden="false" customHeight="false" outlineLevel="0" collapsed="false">
      <c r="A9" s="6" t="n">
        <v>8</v>
      </c>
      <c r="B9" s="7" t="s">
        <v>77</v>
      </c>
      <c r="C9" s="7" t="s">
        <v>78</v>
      </c>
      <c r="D9" s="6" t="s">
        <v>18</v>
      </c>
      <c r="E9" s="8" t="s">
        <v>19</v>
      </c>
      <c r="F9" s="7" t="s">
        <v>20</v>
      </c>
      <c r="G9" s="6" t="s">
        <v>79</v>
      </c>
      <c r="H9" s="7" t="s">
        <v>58</v>
      </c>
      <c r="I9" s="7" t="s">
        <v>23</v>
      </c>
      <c r="J9" s="7" t="s">
        <v>80</v>
      </c>
      <c r="K9" s="7" t="s">
        <v>24</v>
      </c>
      <c r="L9" s="7" t="s">
        <v>61</v>
      </c>
      <c r="M9" s="9" t="s">
        <v>81</v>
      </c>
      <c r="N9" s="8" t="s">
        <v>28</v>
      </c>
      <c r="O9" s="7"/>
      <c r="P9" s="6" t="str">
        <f aca="false">IF(COUNTIF($M$2:$M$51,M9)&gt;1,"⚠ 重复","唯一")</f>
        <v>唯一</v>
      </c>
    </row>
    <row r="10" customFormat="false" ht="15" hidden="false" customHeight="false" outlineLevel="0" collapsed="false">
      <c r="A10" s="6" t="n">
        <v>9</v>
      </c>
      <c r="B10" s="7" t="s">
        <v>82</v>
      </c>
      <c r="C10" s="7" t="s">
        <v>83</v>
      </c>
      <c r="D10" s="6" t="s">
        <v>18</v>
      </c>
      <c r="E10" s="8" t="s">
        <v>19</v>
      </c>
      <c r="F10" s="7" t="s">
        <v>84</v>
      </c>
      <c r="G10" s="6" t="s">
        <v>85</v>
      </c>
      <c r="H10" s="7" t="s">
        <v>33</v>
      </c>
      <c r="I10" s="7" t="s">
        <v>23</v>
      </c>
      <c r="J10" s="7" t="s">
        <v>86</v>
      </c>
      <c r="K10" s="7" t="s">
        <v>35</v>
      </c>
      <c r="L10" s="7" t="s">
        <v>26</v>
      </c>
      <c r="M10" s="9" t="s">
        <v>87</v>
      </c>
      <c r="N10" s="8" t="s">
        <v>88</v>
      </c>
      <c r="O10" s="7"/>
      <c r="P10" s="6" t="str">
        <f aca="false">IF(COUNTIF($M$2:$M$51,M10)&gt;1,"⚠ 重复","唯一")</f>
        <v>唯一</v>
      </c>
    </row>
    <row r="11" customFormat="false" ht="15" hidden="false" customHeight="false" outlineLevel="0" collapsed="false">
      <c r="A11" s="6" t="n">
        <v>10</v>
      </c>
      <c r="B11" s="7" t="s">
        <v>89</v>
      </c>
      <c r="C11" s="7" t="s">
        <v>90</v>
      </c>
      <c r="D11" s="6" t="s">
        <v>18</v>
      </c>
      <c r="E11" s="8" t="s">
        <v>19</v>
      </c>
      <c r="F11" s="7" t="s">
        <v>20</v>
      </c>
      <c r="G11" s="6" t="s">
        <v>91</v>
      </c>
      <c r="H11" s="7" t="s">
        <v>92</v>
      </c>
      <c r="I11" s="7" t="s">
        <v>23</v>
      </c>
      <c r="J11" s="7" t="s">
        <v>45</v>
      </c>
      <c r="K11" s="7" t="s">
        <v>35</v>
      </c>
      <c r="L11" s="7" t="s">
        <v>93</v>
      </c>
      <c r="M11" s="9" t="s">
        <v>94</v>
      </c>
      <c r="N11" s="8" t="s">
        <v>88</v>
      </c>
      <c r="O11" s="7"/>
      <c r="P11" s="6" t="str">
        <f aca="false">IF(COUNTIF($M$2:$M$51,M11)&gt;1,"⚠ 重复","唯一")</f>
        <v>唯一</v>
      </c>
    </row>
    <row r="12" customFormat="false" ht="15" hidden="false" customHeight="false" outlineLevel="0" collapsed="false">
      <c r="A12" s="6" t="n">
        <v>11</v>
      </c>
      <c r="B12" s="7" t="s">
        <v>95</v>
      </c>
      <c r="C12" s="7" t="s">
        <v>96</v>
      </c>
      <c r="D12" s="6" t="s">
        <v>18</v>
      </c>
      <c r="E12" s="8" t="s">
        <v>19</v>
      </c>
      <c r="F12" s="7" t="s">
        <v>20</v>
      </c>
      <c r="G12" s="6" t="s">
        <v>85</v>
      </c>
      <c r="H12" s="7" t="s">
        <v>43</v>
      </c>
      <c r="I12" s="7" t="s">
        <v>23</v>
      </c>
      <c r="J12" s="7" t="s">
        <v>51</v>
      </c>
      <c r="K12" s="7" t="s">
        <v>97</v>
      </c>
      <c r="L12" s="7" t="s">
        <v>98</v>
      </c>
      <c r="M12" s="9" t="s">
        <v>99</v>
      </c>
      <c r="N12" s="8" t="s">
        <v>54</v>
      </c>
      <c r="O12" s="7"/>
      <c r="P12" s="6" t="str">
        <f aca="false">IF(COUNTIF($M$2:$M$51,M12)&gt;1,"⚠ 重复","唯一")</f>
        <v>唯一</v>
      </c>
    </row>
    <row r="13" customFormat="false" ht="15" hidden="false" customHeight="false" outlineLevel="0" collapsed="false">
      <c r="A13" s="6" t="n">
        <v>12</v>
      </c>
      <c r="B13" s="7" t="s">
        <v>100</v>
      </c>
      <c r="C13" s="7" t="s">
        <v>101</v>
      </c>
      <c r="D13" s="6" t="s">
        <v>18</v>
      </c>
      <c r="E13" s="8" t="s">
        <v>19</v>
      </c>
      <c r="F13" s="7" t="s">
        <v>102</v>
      </c>
      <c r="G13" s="6" t="s">
        <v>103</v>
      </c>
      <c r="H13" s="7" t="s">
        <v>104</v>
      </c>
      <c r="I13" s="7" t="s">
        <v>23</v>
      </c>
      <c r="J13" s="7" t="s">
        <v>34</v>
      </c>
      <c r="K13" s="7" t="s">
        <v>24</v>
      </c>
      <c r="L13" s="7" t="s">
        <v>35</v>
      </c>
      <c r="M13" s="9" t="s">
        <v>105</v>
      </c>
      <c r="N13" s="8" t="s">
        <v>88</v>
      </c>
      <c r="O13" s="7"/>
      <c r="P13" s="6" t="str">
        <f aca="false">IF(COUNTIF($M$2:$M$51,M13)&gt;1,"⚠ 重复","唯一")</f>
        <v>唯一</v>
      </c>
    </row>
    <row r="14" customFormat="false" ht="29.85" hidden="false" customHeight="false" outlineLevel="0" collapsed="false">
      <c r="A14" s="2" t="n">
        <v>13</v>
      </c>
      <c r="B14" s="3" t="s">
        <v>106</v>
      </c>
      <c r="C14" s="3" t="s">
        <v>107</v>
      </c>
      <c r="D14" s="2" t="s">
        <v>18</v>
      </c>
      <c r="E14" s="4" t="s">
        <v>19</v>
      </c>
      <c r="F14" s="3" t="s">
        <v>108</v>
      </c>
      <c r="G14" s="2" t="s">
        <v>109</v>
      </c>
      <c r="H14" s="3" t="s">
        <v>110</v>
      </c>
      <c r="I14" s="3" t="s">
        <v>111</v>
      </c>
      <c r="J14" s="3" t="s">
        <v>60</v>
      </c>
      <c r="K14" s="3" t="s">
        <v>112</v>
      </c>
      <c r="L14" s="3" t="s">
        <v>93</v>
      </c>
      <c r="M14" s="5" t="s">
        <v>113</v>
      </c>
      <c r="N14" s="4" t="s">
        <v>114</v>
      </c>
      <c r="O14" s="3" t="s">
        <v>115</v>
      </c>
      <c r="P14" s="2" t="str">
        <f aca="false">IF(COUNTIF($M$2:$M$51,M14)&gt;1,"⚠ 重复","唯一")</f>
        <v>唯一</v>
      </c>
    </row>
    <row r="15" customFormat="false" ht="15" hidden="false" customHeight="false" outlineLevel="0" collapsed="false">
      <c r="A15" s="6" t="n">
        <v>14</v>
      </c>
      <c r="B15" s="7" t="s">
        <v>116</v>
      </c>
      <c r="C15" s="7" t="s">
        <v>117</v>
      </c>
      <c r="D15" s="6" t="s">
        <v>18</v>
      </c>
      <c r="E15" s="8" t="s">
        <v>118</v>
      </c>
      <c r="F15" s="7" t="s">
        <v>119</v>
      </c>
      <c r="G15" s="6" t="s">
        <v>21</v>
      </c>
      <c r="H15" s="7" t="s">
        <v>120</v>
      </c>
      <c r="I15" s="7" t="s">
        <v>23</v>
      </c>
      <c r="J15" s="7" t="s">
        <v>93</v>
      </c>
      <c r="K15" s="7" t="s">
        <v>97</v>
      </c>
      <c r="L15" s="7" t="s">
        <v>121</v>
      </c>
      <c r="M15" s="9" t="s">
        <v>122</v>
      </c>
      <c r="N15" s="8" t="s">
        <v>123</v>
      </c>
      <c r="O15" s="7"/>
      <c r="P15" s="6" t="str">
        <f aca="false">IF(COUNTIF($M$2:$M$51,M15)&gt;1,"⚠ 重复","唯一")</f>
        <v>唯一</v>
      </c>
    </row>
    <row r="16" customFormat="false" ht="15" hidden="false" customHeight="false" outlineLevel="0" collapsed="false">
      <c r="A16" s="6" t="n">
        <v>15</v>
      </c>
      <c r="B16" s="7" t="s">
        <v>124</v>
      </c>
      <c r="C16" s="7" t="s">
        <v>125</v>
      </c>
      <c r="D16" s="6" t="s">
        <v>18</v>
      </c>
      <c r="E16" s="8" t="s">
        <v>19</v>
      </c>
      <c r="F16" s="7" t="s">
        <v>20</v>
      </c>
      <c r="G16" s="6" t="s">
        <v>32</v>
      </c>
      <c r="H16" s="7" t="s">
        <v>92</v>
      </c>
      <c r="I16" s="7" t="s">
        <v>23</v>
      </c>
      <c r="J16" s="7" t="s">
        <v>126</v>
      </c>
      <c r="K16" s="7" t="s">
        <v>74</v>
      </c>
      <c r="L16" s="7" t="s">
        <v>26</v>
      </c>
      <c r="M16" s="9" t="s">
        <v>127</v>
      </c>
      <c r="N16" s="8" t="s">
        <v>88</v>
      </c>
      <c r="O16" s="7"/>
      <c r="P16" s="6" t="str">
        <f aca="false">IF(COUNTIF($M$2:$M$51,M16)&gt;1,"⚠ 重复","唯一")</f>
        <v>唯一</v>
      </c>
    </row>
    <row r="17" customFormat="false" ht="15" hidden="false" customHeight="false" outlineLevel="0" collapsed="false">
      <c r="A17" s="6" t="n">
        <v>16</v>
      </c>
      <c r="B17" s="7" t="s">
        <v>128</v>
      </c>
      <c r="C17" s="7" t="s">
        <v>129</v>
      </c>
      <c r="D17" s="6" t="s">
        <v>18</v>
      </c>
      <c r="E17" s="8" t="s">
        <v>19</v>
      </c>
      <c r="F17" s="7" t="s">
        <v>130</v>
      </c>
      <c r="G17" s="6" t="s">
        <v>131</v>
      </c>
      <c r="H17" s="7" t="s">
        <v>43</v>
      </c>
      <c r="I17" s="7" t="s">
        <v>23</v>
      </c>
      <c r="J17" s="7" t="s">
        <v>93</v>
      </c>
      <c r="K17" s="7" t="s">
        <v>132</v>
      </c>
      <c r="L17" s="7" t="s">
        <v>121</v>
      </c>
      <c r="M17" s="9" t="s">
        <v>133</v>
      </c>
      <c r="N17" s="8" t="s">
        <v>121</v>
      </c>
      <c r="O17" s="7"/>
      <c r="P17" s="6" t="str">
        <f aca="false">IF(COUNTIF($M$2:$M$51,M17)&gt;1,"⚠ 重复","唯一")</f>
        <v>唯一</v>
      </c>
    </row>
    <row r="18" customFormat="false" ht="15" hidden="false" customHeight="false" outlineLevel="0" collapsed="false">
      <c r="A18" s="6" t="n">
        <v>17</v>
      </c>
      <c r="B18" s="7" t="s">
        <v>134</v>
      </c>
      <c r="C18" s="7" t="s">
        <v>135</v>
      </c>
      <c r="D18" s="6" t="s">
        <v>18</v>
      </c>
      <c r="E18" s="8" t="s">
        <v>19</v>
      </c>
      <c r="F18" s="7" t="s">
        <v>72</v>
      </c>
      <c r="G18" s="6" t="s">
        <v>50</v>
      </c>
      <c r="H18" s="7" t="s">
        <v>43</v>
      </c>
      <c r="I18" s="7" t="s">
        <v>23</v>
      </c>
      <c r="J18" s="7" t="s">
        <v>75</v>
      </c>
      <c r="K18" s="7" t="s">
        <v>93</v>
      </c>
      <c r="L18" s="7" t="s">
        <v>44</v>
      </c>
      <c r="M18" s="9" t="s">
        <v>136</v>
      </c>
      <c r="N18" s="8" t="s">
        <v>54</v>
      </c>
      <c r="O18" s="7"/>
      <c r="P18" s="6" t="str">
        <f aca="false">IF(COUNTIF($M$2:$M$51,M18)&gt;1,"⚠ 重复","唯一")</f>
        <v>唯一</v>
      </c>
    </row>
    <row r="19" customFormat="false" ht="15" hidden="false" customHeight="false" outlineLevel="0" collapsed="false">
      <c r="A19" s="6" t="n">
        <v>18</v>
      </c>
      <c r="B19" s="7" t="s">
        <v>137</v>
      </c>
      <c r="C19" s="7" t="s">
        <v>138</v>
      </c>
      <c r="D19" s="6" t="s">
        <v>18</v>
      </c>
      <c r="E19" s="8" t="s">
        <v>118</v>
      </c>
      <c r="F19" s="7" t="s">
        <v>139</v>
      </c>
      <c r="G19" s="6" t="s">
        <v>140</v>
      </c>
      <c r="H19" s="7" t="s">
        <v>43</v>
      </c>
      <c r="I19" s="7" t="s">
        <v>23</v>
      </c>
      <c r="J19" s="7" t="s">
        <v>141</v>
      </c>
      <c r="K19" s="7" t="s">
        <v>51</v>
      </c>
      <c r="L19" s="7" t="s">
        <v>142</v>
      </c>
      <c r="M19" s="9" t="s">
        <v>143</v>
      </c>
      <c r="N19" s="8" t="s">
        <v>54</v>
      </c>
      <c r="O19" s="7"/>
      <c r="P19" s="6" t="str">
        <f aca="false">IF(COUNTIF($M$2:$M$51,M19)&gt;1,"⚠ 重复","唯一")</f>
        <v>唯一</v>
      </c>
    </row>
    <row r="20" customFormat="false" ht="15" hidden="false" customHeight="false" outlineLevel="0" collapsed="false">
      <c r="A20" s="6" t="n">
        <v>19</v>
      </c>
      <c r="B20" s="7" t="s">
        <v>144</v>
      </c>
      <c r="C20" s="7" t="s">
        <v>145</v>
      </c>
      <c r="D20" s="6" t="s">
        <v>18</v>
      </c>
      <c r="E20" s="8" t="s">
        <v>118</v>
      </c>
      <c r="F20" s="7" t="s">
        <v>119</v>
      </c>
      <c r="G20" s="6" t="s">
        <v>146</v>
      </c>
      <c r="H20" s="7" t="s">
        <v>33</v>
      </c>
      <c r="I20" s="7" t="s">
        <v>23</v>
      </c>
      <c r="J20" s="7" t="s">
        <v>35</v>
      </c>
      <c r="K20" s="7" t="s">
        <v>97</v>
      </c>
      <c r="L20" s="7" t="s">
        <v>45</v>
      </c>
      <c r="M20" s="9" t="s">
        <v>147</v>
      </c>
      <c r="N20" s="8" t="s">
        <v>148</v>
      </c>
      <c r="O20" s="7"/>
      <c r="P20" s="6" t="str">
        <f aca="false">IF(COUNTIF($M$2:$M$51,M20)&gt;1,"⚠ 重复","唯一")</f>
        <v>唯一</v>
      </c>
    </row>
    <row r="21" customFormat="false" ht="15" hidden="false" customHeight="false" outlineLevel="0" collapsed="false">
      <c r="A21" s="6" t="n">
        <v>20</v>
      </c>
      <c r="B21" s="7" t="s">
        <v>149</v>
      </c>
      <c r="C21" s="7" t="s">
        <v>150</v>
      </c>
      <c r="D21" s="6" t="s">
        <v>18</v>
      </c>
      <c r="E21" s="8" t="s">
        <v>19</v>
      </c>
      <c r="F21" s="7" t="s">
        <v>20</v>
      </c>
      <c r="G21" s="6" t="s">
        <v>73</v>
      </c>
      <c r="H21" s="7" t="s">
        <v>58</v>
      </c>
      <c r="I21" s="7" t="s">
        <v>23</v>
      </c>
      <c r="J21" s="7" t="s">
        <v>93</v>
      </c>
      <c r="K21" s="7" t="s">
        <v>26</v>
      </c>
      <c r="L21" s="7" t="s">
        <v>132</v>
      </c>
      <c r="M21" s="9" t="s">
        <v>151</v>
      </c>
      <c r="N21" s="8" t="s">
        <v>28</v>
      </c>
      <c r="O21" s="7"/>
      <c r="P21" s="6" t="str">
        <f aca="false">IF(COUNTIF($M$2:$M$51,M21)&gt;1,"⚠ 重复","唯一")</f>
        <v>唯一</v>
      </c>
    </row>
    <row r="22" customFormat="false" ht="29.85" hidden="false" customHeight="false" outlineLevel="0" collapsed="false">
      <c r="A22" s="6" t="n">
        <v>21</v>
      </c>
      <c r="B22" s="7" t="s">
        <v>152</v>
      </c>
      <c r="C22" s="7" t="s">
        <v>153</v>
      </c>
      <c r="D22" s="6" t="s">
        <v>18</v>
      </c>
      <c r="E22" s="8" t="s">
        <v>118</v>
      </c>
      <c r="F22" s="7" t="s">
        <v>154</v>
      </c>
      <c r="G22" s="6" t="s">
        <v>21</v>
      </c>
      <c r="H22" s="7" t="s">
        <v>155</v>
      </c>
      <c r="I22" s="7" t="s">
        <v>23</v>
      </c>
      <c r="J22" s="7" t="s">
        <v>98</v>
      </c>
      <c r="K22" s="7" t="s">
        <v>35</v>
      </c>
      <c r="L22" s="7" t="s">
        <v>112</v>
      </c>
      <c r="M22" s="9" t="s">
        <v>156</v>
      </c>
      <c r="N22" s="8" t="s">
        <v>157</v>
      </c>
      <c r="O22" s="7"/>
      <c r="P22" s="6" t="str">
        <f aca="false">IF(COUNTIF($M$2:$M$51,M22)&gt;1,"⚠ 重复","唯一")</f>
        <v>唯一</v>
      </c>
    </row>
    <row r="23" customFormat="false" ht="15" hidden="false" customHeight="false" outlineLevel="0" collapsed="false">
      <c r="A23" s="6" t="n">
        <v>22</v>
      </c>
      <c r="B23" s="7" t="s">
        <v>158</v>
      </c>
      <c r="C23" s="7" t="s">
        <v>159</v>
      </c>
      <c r="D23" s="6" t="s">
        <v>18</v>
      </c>
      <c r="E23" s="8" t="s">
        <v>118</v>
      </c>
      <c r="F23" s="7" t="s">
        <v>154</v>
      </c>
      <c r="G23" s="6" t="s">
        <v>32</v>
      </c>
      <c r="H23" s="7" t="s">
        <v>43</v>
      </c>
      <c r="I23" s="7" t="s">
        <v>23</v>
      </c>
      <c r="J23" s="7" t="s">
        <v>44</v>
      </c>
      <c r="K23" s="7" t="s">
        <v>26</v>
      </c>
      <c r="L23" s="7" t="s">
        <v>51</v>
      </c>
      <c r="M23" s="9" t="s">
        <v>160</v>
      </c>
      <c r="N23" s="8" t="s">
        <v>54</v>
      </c>
      <c r="O23" s="7"/>
      <c r="P23" s="6" t="str">
        <f aca="false">IF(COUNTIF($M$2:$M$51,M23)&gt;1,"⚠ 重复","唯一")</f>
        <v>唯一</v>
      </c>
    </row>
    <row r="24" customFormat="false" ht="15" hidden="false" customHeight="false" outlineLevel="0" collapsed="false">
      <c r="A24" s="6" t="n">
        <v>23</v>
      </c>
      <c r="B24" s="7" t="s">
        <v>161</v>
      </c>
      <c r="C24" s="7" t="s">
        <v>162</v>
      </c>
      <c r="D24" s="6" t="s">
        <v>18</v>
      </c>
      <c r="E24" s="8" t="s">
        <v>118</v>
      </c>
      <c r="F24" s="7" t="s">
        <v>163</v>
      </c>
      <c r="G24" s="6" t="s">
        <v>131</v>
      </c>
      <c r="H24" s="7" t="s">
        <v>155</v>
      </c>
      <c r="I24" s="7" t="s">
        <v>23</v>
      </c>
      <c r="J24" s="7" t="s">
        <v>34</v>
      </c>
      <c r="K24" s="7" t="s">
        <v>98</v>
      </c>
      <c r="L24" s="7" t="s">
        <v>68</v>
      </c>
      <c r="M24" s="9" t="s">
        <v>164</v>
      </c>
      <c r="N24" s="8" t="s">
        <v>38</v>
      </c>
      <c r="O24" s="7"/>
      <c r="P24" s="6" t="str">
        <f aca="false">IF(COUNTIF($M$2:$M$51,M24)&gt;1,"⚠ 重复","唯一")</f>
        <v>唯一</v>
      </c>
    </row>
    <row r="25" customFormat="false" ht="15" hidden="false" customHeight="false" outlineLevel="0" collapsed="false">
      <c r="A25" s="6" t="n">
        <v>24</v>
      </c>
      <c r="B25" s="7" t="s">
        <v>165</v>
      </c>
      <c r="C25" s="7" t="s">
        <v>166</v>
      </c>
      <c r="D25" s="6" t="s">
        <v>18</v>
      </c>
      <c r="E25" s="8" t="s">
        <v>118</v>
      </c>
      <c r="F25" s="7" t="s">
        <v>167</v>
      </c>
      <c r="G25" s="6" t="s">
        <v>50</v>
      </c>
      <c r="H25" s="7" t="s">
        <v>58</v>
      </c>
      <c r="I25" s="7" t="s">
        <v>23</v>
      </c>
      <c r="J25" s="7" t="s">
        <v>86</v>
      </c>
      <c r="K25" s="7" t="s">
        <v>68</v>
      </c>
      <c r="L25" s="7" t="s">
        <v>34</v>
      </c>
      <c r="M25" s="9" t="s">
        <v>168</v>
      </c>
      <c r="N25" s="8" t="s">
        <v>88</v>
      </c>
      <c r="O25" s="7"/>
      <c r="P25" s="6" t="str">
        <f aca="false">IF(COUNTIF($M$2:$M$51,M25)&gt;1,"⚠ 重复","唯一")</f>
        <v>唯一</v>
      </c>
    </row>
    <row r="26" customFormat="false" ht="15" hidden="false" customHeight="false" outlineLevel="0" collapsed="false">
      <c r="A26" s="6" t="n">
        <v>25</v>
      </c>
      <c r="B26" s="7" t="s">
        <v>169</v>
      </c>
      <c r="C26" s="7" t="s">
        <v>170</v>
      </c>
      <c r="D26" s="6" t="s">
        <v>18</v>
      </c>
      <c r="E26" s="8" t="s">
        <v>118</v>
      </c>
      <c r="F26" s="7" t="s">
        <v>171</v>
      </c>
      <c r="G26" s="6" t="s">
        <v>66</v>
      </c>
      <c r="H26" s="7" t="s">
        <v>43</v>
      </c>
      <c r="I26" s="7" t="s">
        <v>23</v>
      </c>
      <c r="J26" s="7" t="s">
        <v>141</v>
      </c>
      <c r="K26" s="7" t="s">
        <v>51</v>
      </c>
      <c r="L26" s="7" t="s">
        <v>36</v>
      </c>
      <c r="M26" s="9" t="s">
        <v>172</v>
      </c>
      <c r="N26" s="8" t="s">
        <v>54</v>
      </c>
      <c r="O26" s="7"/>
      <c r="P26" s="6" t="str">
        <f aca="false">IF(COUNTIF($M$2:$M$51,M26)&gt;1,"⚠ 重复","唯一")</f>
        <v>唯一</v>
      </c>
    </row>
    <row r="27" customFormat="false" ht="15" hidden="false" customHeight="false" outlineLevel="0" collapsed="false">
      <c r="A27" s="6" t="n">
        <v>26</v>
      </c>
      <c r="B27" s="7" t="s">
        <v>173</v>
      </c>
      <c r="C27" s="7" t="s">
        <v>174</v>
      </c>
      <c r="D27" s="6" t="s">
        <v>18</v>
      </c>
      <c r="E27" s="8" t="s">
        <v>118</v>
      </c>
      <c r="F27" s="7" t="s">
        <v>175</v>
      </c>
      <c r="G27" s="6" t="s">
        <v>140</v>
      </c>
      <c r="H27" s="7" t="s">
        <v>58</v>
      </c>
      <c r="I27" s="7" t="s">
        <v>23</v>
      </c>
      <c r="J27" s="7" t="s">
        <v>59</v>
      </c>
      <c r="K27" s="7" t="s">
        <v>60</v>
      </c>
      <c r="L27" s="7" t="s">
        <v>61</v>
      </c>
      <c r="M27" s="9" t="s">
        <v>176</v>
      </c>
      <c r="N27" s="8" t="s">
        <v>88</v>
      </c>
      <c r="O27" s="7"/>
      <c r="P27" s="6" t="str">
        <f aca="false">IF(COUNTIF($M$2:$M$51,M27)&gt;1,"⚠ 重复","唯一")</f>
        <v>唯一</v>
      </c>
    </row>
    <row r="28" customFormat="false" ht="15" hidden="false" customHeight="false" outlineLevel="0" collapsed="false">
      <c r="A28" s="2" t="n">
        <v>27</v>
      </c>
      <c r="B28" s="3" t="s">
        <v>177</v>
      </c>
      <c r="C28" s="3" t="s">
        <v>178</v>
      </c>
      <c r="D28" s="2" t="s">
        <v>18</v>
      </c>
      <c r="E28" s="4" t="s">
        <v>118</v>
      </c>
      <c r="F28" s="3" t="s">
        <v>179</v>
      </c>
      <c r="G28" s="2" t="s">
        <v>180</v>
      </c>
      <c r="H28" s="3" t="s">
        <v>43</v>
      </c>
      <c r="I28" s="3" t="s">
        <v>23</v>
      </c>
      <c r="J28" s="3" t="s">
        <v>181</v>
      </c>
      <c r="K28" s="3" t="s">
        <v>45</v>
      </c>
      <c r="L28" s="3" t="s">
        <v>93</v>
      </c>
      <c r="M28" s="5" t="s">
        <v>182</v>
      </c>
      <c r="N28" s="4" t="s">
        <v>54</v>
      </c>
      <c r="O28" s="3" t="s">
        <v>183</v>
      </c>
      <c r="P28" s="2" t="str">
        <f aca="false">IF(COUNTIF($M$2:$M$51,M28)&gt;1,"⚠ 重复","唯一")</f>
        <v>唯一</v>
      </c>
    </row>
    <row r="29" customFormat="false" ht="15" hidden="false" customHeight="false" outlineLevel="0" collapsed="false">
      <c r="A29" s="6" t="n">
        <v>28</v>
      </c>
      <c r="B29" s="7" t="s">
        <v>184</v>
      </c>
      <c r="C29" s="7" t="s">
        <v>185</v>
      </c>
      <c r="D29" s="6" t="s">
        <v>18</v>
      </c>
      <c r="E29" s="8" t="s">
        <v>118</v>
      </c>
      <c r="F29" s="7" t="s">
        <v>186</v>
      </c>
      <c r="G29" s="6" t="s">
        <v>73</v>
      </c>
      <c r="H29" s="7" t="s">
        <v>33</v>
      </c>
      <c r="I29" s="7" t="s">
        <v>23</v>
      </c>
      <c r="J29" s="7" t="s">
        <v>97</v>
      </c>
      <c r="K29" s="7" t="s">
        <v>68</v>
      </c>
      <c r="L29" s="7" t="s">
        <v>60</v>
      </c>
      <c r="M29" s="9" t="s">
        <v>187</v>
      </c>
      <c r="N29" s="8" t="s">
        <v>148</v>
      </c>
      <c r="O29" s="7"/>
      <c r="P29" s="6" t="str">
        <f aca="false">IF(COUNTIF($M$2:$M$51,M29)&gt;1,"⚠ 重复","唯一")</f>
        <v>唯一</v>
      </c>
    </row>
    <row r="30" customFormat="false" ht="15" hidden="false" customHeight="false" outlineLevel="0" collapsed="false">
      <c r="A30" s="6" t="n">
        <v>29</v>
      </c>
      <c r="B30" s="7" t="s">
        <v>188</v>
      </c>
      <c r="C30" s="7" t="s">
        <v>189</v>
      </c>
      <c r="D30" s="6" t="s">
        <v>18</v>
      </c>
      <c r="E30" s="8" t="s">
        <v>118</v>
      </c>
      <c r="F30" s="7" t="s">
        <v>190</v>
      </c>
      <c r="G30" s="6" t="s">
        <v>79</v>
      </c>
      <c r="H30" s="7" t="s">
        <v>92</v>
      </c>
      <c r="I30" s="7" t="s">
        <v>23</v>
      </c>
      <c r="J30" s="7" t="s">
        <v>126</v>
      </c>
      <c r="K30" s="7" t="s">
        <v>74</v>
      </c>
      <c r="L30" s="7" t="s">
        <v>24</v>
      </c>
      <c r="M30" s="9" t="s">
        <v>191</v>
      </c>
      <c r="N30" s="8" t="s">
        <v>88</v>
      </c>
      <c r="O30" s="7"/>
      <c r="P30" s="6" t="str">
        <f aca="false">IF(COUNTIF($M$2:$M$51,M30)&gt;1,"⚠ 重复","唯一")</f>
        <v>唯一</v>
      </c>
    </row>
    <row r="31" customFormat="false" ht="29.85" hidden="false" customHeight="false" outlineLevel="0" collapsed="false">
      <c r="A31" s="2" t="n">
        <v>30</v>
      </c>
      <c r="B31" s="3" t="s">
        <v>192</v>
      </c>
      <c r="C31" s="3" t="s">
        <v>193</v>
      </c>
      <c r="D31" s="2" t="s">
        <v>18</v>
      </c>
      <c r="E31" s="4" t="s">
        <v>118</v>
      </c>
      <c r="F31" s="3" t="s">
        <v>194</v>
      </c>
      <c r="G31" s="2" t="s">
        <v>195</v>
      </c>
      <c r="H31" s="3" t="s">
        <v>196</v>
      </c>
      <c r="I31" s="3" t="s">
        <v>111</v>
      </c>
      <c r="J31" s="3" t="s">
        <v>51</v>
      </c>
      <c r="K31" s="3" t="s">
        <v>35</v>
      </c>
      <c r="L31" s="3" t="s">
        <v>112</v>
      </c>
      <c r="M31" s="5" t="s">
        <v>197</v>
      </c>
      <c r="N31" s="4" t="s">
        <v>198</v>
      </c>
      <c r="O31" s="3" t="s">
        <v>199</v>
      </c>
      <c r="P31" s="2" t="str">
        <f aca="false">IF(COUNTIF($M$2:$M$51,M31)&gt;1,"⚠ 重复","唯一")</f>
        <v>唯一</v>
      </c>
    </row>
    <row r="32" customFormat="false" ht="15" hidden="false" customHeight="false" outlineLevel="0" collapsed="false">
      <c r="A32" s="6" t="n">
        <v>31</v>
      </c>
      <c r="B32" s="7" t="s">
        <v>200</v>
      </c>
      <c r="C32" s="7" t="s">
        <v>201</v>
      </c>
      <c r="D32" s="6" t="s">
        <v>18</v>
      </c>
      <c r="E32" s="8" t="s">
        <v>118</v>
      </c>
      <c r="F32" s="7" t="s">
        <v>202</v>
      </c>
      <c r="G32" s="6" t="s">
        <v>50</v>
      </c>
      <c r="H32" s="7" t="s">
        <v>58</v>
      </c>
      <c r="I32" s="7" t="s">
        <v>23</v>
      </c>
      <c r="J32" s="7" t="s">
        <v>24</v>
      </c>
      <c r="K32" s="7" t="s">
        <v>97</v>
      </c>
      <c r="L32" s="7" t="s">
        <v>93</v>
      </c>
      <c r="M32" s="9" t="s">
        <v>203</v>
      </c>
      <c r="N32" s="8" t="s">
        <v>88</v>
      </c>
      <c r="O32" s="7"/>
      <c r="P32" s="6" t="str">
        <f aca="false">IF(COUNTIF($M$2:$M$51,M32)&gt;1,"⚠ 重复","唯一")</f>
        <v>唯一</v>
      </c>
    </row>
    <row r="33" customFormat="false" ht="15" hidden="false" customHeight="false" outlineLevel="0" collapsed="false">
      <c r="A33" s="6" t="n">
        <v>32</v>
      </c>
      <c r="B33" s="7" t="s">
        <v>204</v>
      </c>
      <c r="C33" s="7" t="s">
        <v>205</v>
      </c>
      <c r="D33" s="6" t="s">
        <v>18</v>
      </c>
      <c r="E33" s="8" t="s">
        <v>118</v>
      </c>
      <c r="F33" s="7" t="s">
        <v>202</v>
      </c>
      <c r="G33" s="6" t="s">
        <v>66</v>
      </c>
      <c r="H33" s="7" t="s">
        <v>43</v>
      </c>
      <c r="I33" s="7" t="s">
        <v>23</v>
      </c>
      <c r="J33" s="7" t="s">
        <v>51</v>
      </c>
      <c r="K33" s="7" t="s">
        <v>93</v>
      </c>
      <c r="L33" s="7" t="s">
        <v>61</v>
      </c>
      <c r="M33" s="9" t="s">
        <v>206</v>
      </c>
      <c r="N33" s="8" t="s">
        <v>207</v>
      </c>
      <c r="O33" s="7"/>
      <c r="P33" s="6" t="str">
        <f aca="false">IF(COUNTIF($M$2:$M$51,M33)&gt;1,"⚠ 重复","唯一")</f>
        <v>唯一</v>
      </c>
    </row>
    <row r="34" customFormat="false" ht="15" hidden="false" customHeight="false" outlineLevel="0" collapsed="false">
      <c r="A34" s="6" t="n">
        <v>33</v>
      </c>
      <c r="B34" s="7" t="s">
        <v>208</v>
      </c>
      <c r="C34" s="7" t="s">
        <v>209</v>
      </c>
      <c r="D34" s="6" t="s">
        <v>18</v>
      </c>
      <c r="E34" s="8" t="s">
        <v>118</v>
      </c>
      <c r="F34" s="7" t="s">
        <v>210</v>
      </c>
      <c r="G34" s="6" t="s">
        <v>211</v>
      </c>
      <c r="H34" s="7" t="s">
        <v>104</v>
      </c>
      <c r="I34" s="7" t="s">
        <v>23</v>
      </c>
      <c r="J34" s="7" t="s">
        <v>45</v>
      </c>
      <c r="K34" s="7" t="s">
        <v>35</v>
      </c>
      <c r="L34" s="7" t="s">
        <v>132</v>
      </c>
      <c r="M34" s="9" t="s">
        <v>212</v>
      </c>
      <c r="N34" s="8" t="s">
        <v>88</v>
      </c>
      <c r="O34" s="7"/>
      <c r="P34" s="6" t="str">
        <f aca="false">IF(COUNTIF($M$2:$M$51,M34)&gt;1,"⚠ 重复","唯一")</f>
        <v>唯一</v>
      </c>
    </row>
    <row r="35" customFormat="false" ht="15" hidden="false" customHeight="false" outlineLevel="0" collapsed="false">
      <c r="A35" s="6" t="n">
        <v>34</v>
      </c>
      <c r="B35" s="7" t="s">
        <v>213</v>
      </c>
      <c r="C35" s="7" t="s">
        <v>214</v>
      </c>
      <c r="D35" s="6" t="s">
        <v>18</v>
      </c>
      <c r="E35" s="8" t="s">
        <v>118</v>
      </c>
      <c r="F35" s="7" t="s">
        <v>215</v>
      </c>
      <c r="G35" s="6" t="s">
        <v>73</v>
      </c>
      <c r="H35" s="7" t="s">
        <v>43</v>
      </c>
      <c r="I35" s="7" t="s">
        <v>23</v>
      </c>
      <c r="J35" s="7" t="s">
        <v>97</v>
      </c>
      <c r="K35" s="7" t="s">
        <v>26</v>
      </c>
      <c r="L35" s="7" t="s">
        <v>34</v>
      </c>
      <c r="M35" s="9" t="s">
        <v>216</v>
      </c>
      <c r="N35" s="8" t="s">
        <v>54</v>
      </c>
      <c r="O35" s="7"/>
      <c r="P35" s="6" t="str">
        <f aca="false">IF(COUNTIF($M$2:$M$51,M35)&gt;1,"⚠ 重复","唯一")</f>
        <v>唯一</v>
      </c>
    </row>
    <row r="36" customFormat="false" ht="15" hidden="false" customHeight="false" outlineLevel="0" collapsed="false">
      <c r="A36" s="6" t="n">
        <v>35</v>
      </c>
      <c r="B36" s="7" t="s">
        <v>217</v>
      </c>
      <c r="C36" s="7" t="s">
        <v>218</v>
      </c>
      <c r="D36" s="6" t="s">
        <v>18</v>
      </c>
      <c r="E36" s="8" t="s">
        <v>118</v>
      </c>
      <c r="F36" s="7" t="s">
        <v>219</v>
      </c>
      <c r="G36" s="6" t="s">
        <v>85</v>
      </c>
      <c r="H36" s="7" t="s">
        <v>92</v>
      </c>
      <c r="I36" s="7" t="s">
        <v>23</v>
      </c>
      <c r="J36" s="7" t="s">
        <v>126</v>
      </c>
      <c r="K36" s="7" t="s">
        <v>35</v>
      </c>
      <c r="L36" s="7" t="s">
        <v>44</v>
      </c>
      <c r="M36" s="9" t="s">
        <v>220</v>
      </c>
      <c r="N36" s="8" t="s">
        <v>88</v>
      </c>
      <c r="O36" s="7"/>
      <c r="P36" s="6" t="str">
        <f aca="false">IF(COUNTIF($M$2:$M$51,M36)&gt;1,"⚠ 重复","唯一")</f>
        <v>唯一</v>
      </c>
    </row>
    <row r="37" customFormat="false" ht="15" hidden="false" customHeight="false" outlineLevel="0" collapsed="false">
      <c r="A37" s="6" t="n">
        <v>36</v>
      </c>
      <c r="B37" s="7" t="s">
        <v>221</v>
      </c>
      <c r="C37" s="7" t="s">
        <v>222</v>
      </c>
      <c r="D37" s="6" t="s">
        <v>18</v>
      </c>
      <c r="E37" s="8" t="s">
        <v>118</v>
      </c>
      <c r="F37" s="7" t="s">
        <v>223</v>
      </c>
      <c r="G37" s="6" t="s">
        <v>103</v>
      </c>
      <c r="H37" s="7" t="s">
        <v>224</v>
      </c>
      <c r="I37" s="7" t="s">
        <v>23</v>
      </c>
      <c r="J37" s="7" t="s">
        <v>225</v>
      </c>
      <c r="K37" s="7" t="s">
        <v>226</v>
      </c>
      <c r="L37" s="7" t="s">
        <v>227</v>
      </c>
      <c r="M37" s="9" t="s">
        <v>228</v>
      </c>
      <c r="N37" s="8" t="s">
        <v>229</v>
      </c>
      <c r="O37" s="7"/>
      <c r="P37" s="6" t="str">
        <f aca="false">IF(COUNTIF($M$2:$M$51,M37)&gt;1,"⚠ 重复","唯一")</f>
        <v>唯一</v>
      </c>
    </row>
    <row r="38" customFormat="false" ht="15" hidden="false" customHeight="false" outlineLevel="0" collapsed="false">
      <c r="A38" s="6" t="n">
        <v>37</v>
      </c>
      <c r="B38" s="7" t="s">
        <v>230</v>
      </c>
      <c r="C38" s="7" t="s">
        <v>231</v>
      </c>
      <c r="D38" s="6" t="s">
        <v>18</v>
      </c>
      <c r="E38" s="8" t="s">
        <v>118</v>
      </c>
      <c r="F38" s="7" t="s">
        <v>232</v>
      </c>
      <c r="G38" s="6" t="s">
        <v>66</v>
      </c>
      <c r="H38" s="7" t="s">
        <v>92</v>
      </c>
      <c r="I38" s="7" t="s">
        <v>23</v>
      </c>
      <c r="J38" s="7" t="s">
        <v>233</v>
      </c>
      <c r="K38" s="7" t="s">
        <v>61</v>
      </c>
      <c r="L38" s="7" t="s">
        <v>226</v>
      </c>
      <c r="M38" s="9" t="s">
        <v>234</v>
      </c>
      <c r="N38" s="8" t="s">
        <v>88</v>
      </c>
      <c r="O38" s="7"/>
      <c r="P38" s="6" t="str">
        <f aca="false">IF(COUNTIF($M$2:$M$51,M38)&gt;1,"⚠ 重复","唯一")</f>
        <v>唯一</v>
      </c>
    </row>
    <row r="39" customFormat="false" ht="15" hidden="false" customHeight="false" outlineLevel="0" collapsed="false">
      <c r="A39" s="6" t="n">
        <v>38</v>
      </c>
      <c r="B39" s="7" t="s">
        <v>235</v>
      </c>
      <c r="C39" s="7" t="s">
        <v>236</v>
      </c>
      <c r="D39" s="6" t="s">
        <v>18</v>
      </c>
      <c r="E39" s="8" t="s">
        <v>118</v>
      </c>
      <c r="F39" s="7" t="s">
        <v>237</v>
      </c>
      <c r="G39" s="6" t="s">
        <v>79</v>
      </c>
      <c r="H39" s="7" t="s">
        <v>43</v>
      </c>
      <c r="I39" s="7" t="s">
        <v>23</v>
      </c>
      <c r="J39" s="7" t="s">
        <v>238</v>
      </c>
      <c r="K39" s="7" t="s">
        <v>24</v>
      </c>
      <c r="L39" s="7" t="s">
        <v>121</v>
      </c>
      <c r="M39" s="9" t="s">
        <v>239</v>
      </c>
      <c r="N39" s="8" t="s">
        <v>54</v>
      </c>
      <c r="O39" s="7"/>
      <c r="P39" s="6" t="str">
        <f aca="false">IF(COUNTIF($M$2:$M$51,M39)&gt;1,"⚠ 重复","唯一")</f>
        <v>唯一</v>
      </c>
    </row>
    <row r="40" customFormat="false" ht="15" hidden="false" customHeight="false" outlineLevel="0" collapsed="false">
      <c r="A40" s="6" t="n">
        <v>39</v>
      </c>
      <c r="B40" s="7" t="s">
        <v>240</v>
      </c>
      <c r="C40" s="7" t="s">
        <v>241</v>
      </c>
      <c r="D40" s="6" t="s">
        <v>18</v>
      </c>
      <c r="E40" s="8" t="s">
        <v>118</v>
      </c>
      <c r="F40" s="7" t="s">
        <v>242</v>
      </c>
      <c r="G40" s="6" t="s">
        <v>243</v>
      </c>
      <c r="H40" s="7" t="s">
        <v>33</v>
      </c>
      <c r="I40" s="7" t="s">
        <v>23</v>
      </c>
      <c r="J40" s="7" t="s">
        <v>97</v>
      </c>
      <c r="K40" s="7" t="s">
        <v>98</v>
      </c>
      <c r="L40" s="7" t="s">
        <v>51</v>
      </c>
      <c r="M40" s="9" t="s">
        <v>244</v>
      </c>
      <c r="N40" s="8" t="s">
        <v>148</v>
      </c>
      <c r="O40" s="7"/>
      <c r="P40" s="6" t="str">
        <f aca="false">IF(COUNTIF($M$2:$M$51,M40)&gt;1,"⚠ 重复","唯一")</f>
        <v>唯一</v>
      </c>
    </row>
    <row r="41" customFormat="false" ht="15" hidden="false" customHeight="false" outlineLevel="0" collapsed="false">
      <c r="A41" s="6" t="n">
        <v>40</v>
      </c>
      <c r="B41" s="7" t="s">
        <v>245</v>
      </c>
      <c r="C41" s="7" t="s">
        <v>246</v>
      </c>
      <c r="D41" s="6" t="s">
        <v>18</v>
      </c>
      <c r="E41" s="8" t="s">
        <v>118</v>
      </c>
      <c r="F41" s="7" t="s">
        <v>247</v>
      </c>
      <c r="G41" s="6" t="s">
        <v>21</v>
      </c>
      <c r="H41" s="7" t="s">
        <v>43</v>
      </c>
      <c r="I41" s="7" t="s">
        <v>23</v>
      </c>
      <c r="J41" s="7" t="s">
        <v>86</v>
      </c>
      <c r="K41" s="7" t="s">
        <v>80</v>
      </c>
      <c r="L41" s="7" t="s">
        <v>35</v>
      </c>
      <c r="M41" s="9" t="s">
        <v>248</v>
      </c>
      <c r="N41" s="8" t="s">
        <v>54</v>
      </c>
      <c r="O41" s="7"/>
      <c r="P41" s="6" t="str">
        <f aca="false">IF(COUNTIF($M$2:$M$51,M41)&gt;1,"⚠ 重复","唯一")</f>
        <v>唯一</v>
      </c>
    </row>
    <row r="42" customFormat="false" ht="29.85" hidden="false" customHeight="false" outlineLevel="0" collapsed="false">
      <c r="A42" s="2" t="n">
        <v>41</v>
      </c>
      <c r="B42" s="3" t="s">
        <v>249</v>
      </c>
      <c r="C42" s="3" t="s">
        <v>250</v>
      </c>
      <c r="D42" s="2" t="s">
        <v>251</v>
      </c>
      <c r="E42" s="4" t="s">
        <v>118</v>
      </c>
      <c r="F42" s="3" t="s">
        <v>252</v>
      </c>
      <c r="G42" s="2" t="s">
        <v>32</v>
      </c>
      <c r="H42" s="3" t="s">
        <v>253</v>
      </c>
      <c r="I42" s="3" t="s">
        <v>254</v>
      </c>
      <c r="J42" s="3" t="s">
        <v>181</v>
      </c>
      <c r="K42" s="3" t="s">
        <v>93</v>
      </c>
      <c r="L42" s="3" t="s">
        <v>227</v>
      </c>
      <c r="M42" s="5" t="s">
        <v>255</v>
      </c>
      <c r="N42" s="4" t="s">
        <v>256</v>
      </c>
      <c r="O42" s="3" t="s">
        <v>257</v>
      </c>
      <c r="P42" s="2" t="str">
        <f aca="false">IF(COUNTIF($M$2:$M$51,M42)&gt;1,"⚠ 重复","唯一")</f>
        <v>唯一</v>
      </c>
    </row>
    <row r="43" customFormat="false" ht="29.85" hidden="false" customHeight="false" outlineLevel="0" collapsed="false">
      <c r="A43" s="6" t="n">
        <v>42</v>
      </c>
      <c r="B43" s="7" t="s">
        <v>258</v>
      </c>
      <c r="C43" s="7" t="s">
        <v>259</v>
      </c>
      <c r="D43" s="6" t="s">
        <v>251</v>
      </c>
      <c r="E43" s="8" t="s">
        <v>118</v>
      </c>
      <c r="F43" s="7" t="s">
        <v>260</v>
      </c>
      <c r="G43" s="6" t="s">
        <v>131</v>
      </c>
      <c r="H43" s="7" t="s">
        <v>261</v>
      </c>
      <c r="I43" s="7" t="s">
        <v>254</v>
      </c>
      <c r="J43" s="7" t="s">
        <v>51</v>
      </c>
      <c r="K43" s="7" t="s">
        <v>142</v>
      </c>
      <c r="L43" s="7" t="s">
        <v>262</v>
      </c>
      <c r="M43" s="9" t="s">
        <v>263</v>
      </c>
      <c r="N43" s="8" t="s">
        <v>264</v>
      </c>
      <c r="O43" s="7"/>
      <c r="P43" s="6" t="str">
        <f aca="false">IF(COUNTIF($M$2:$M$51,M43)&gt;1,"⚠ 重复","唯一")</f>
        <v>唯一</v>
      </c>
    </row>
    <row r="44" customFormat="false" ht="29.85" hidden="false" customHeight="false" outlineLevel="0" collapsed="false">
      <c r="A44" s="6" t="n">
        <v>43</v>
      </c>
      <c r="B44" s="7" t="s">
        <v>265</v>
      </c>
      <c r="C44" s="7" t="s">
        <v>266</v>
      </c>
      <c r="D44" s="6" t="s">
        <v>251</v>
      </c>
      <c r="E44" s="8" t="s">
        <v>118</v>
      </c>
      <c r="F44" s="7" t="s">
        <v>267</v>
      </c>
      <c r="G44" s="6" t="s">
        <v>50</v>
      </c>
      <c r="H44" s="7" t="s">
        <v>253</v>
      </c>
      <c r="I44" s="7" t="s">
        <v>254</v>
      </c>
      <c r="J44" s="7" t="s">
        <v>93</v>
      </c>
      <c r="K44" s="7" t="s">
        <v>132</v>
      </c>
      <c r="L44" s="7" t="s">
        <v>227</v>
      </c>
      <c r="M44" s="9" t="s">
        <v>268</v>
      </c>
      <c r="N44" s="8" t="s">
        <v>121</v>
      </c>
      <c r="O44" s="7"/>
      <c r="P44" s="6" t="str">
        <f aca="false">IF(COUNTIF($M$2:$M$51,M44)&gt;1,"⚠ 重复","唯一")</f>
        <v>唯一</v>
      </c>
    </row>
    <row r="45" customFormat="false" ht="29.85" hidden="false" customHeight="false" outlineLevel="0" collapsed="false">
      <c r="A45" s="6" t="n">
        <v>44</v>
      </c>
      <c r="B45" s="7" t="s">
        <v>269</v>
      </c>
      <c r="C45" s="7" t="s">
        <v>270</v>
      </c>
      <c r="D45" s="6" t="s">
        <v>251</v>
      </c>
      <c r="E45" s="8" t="s">
        <v>118</v>
      </c>
      <c r="F45" s="7" t="s">
        <v>271</v>
      </c>
      <c r="G45" s="6" t="s">
        <v>140</v>
      </c>
      <c r="H45" s="7" t="s">
        <v>253</v>
      </c>
      <c r="I45" s="7" t="s">
        <v>254</v>
      </c>
      <c r="J45" s="7" t="s">
        <v>26</v>
      </c>
      <c r="K45" s="7" t="s">
        <v>93</v>
      </c>
      <c r="L45" s="7" t="s">
        <v>262</v>
      </c>
      <c r="M45" s="9" t="s">
        <v>272</v>
      </c>
      <c r="N45" s="8" t="s">
        <v>256</v>
      </c>
      <c r="O45" s="7"/>
      <c r="P45" s="6" t="str">
        <f aca="false">IF(COUNTIF($M$2:$M$51,M45)&gt;1,"⚠ 重复","唯一")</f>
        <v>唯一</v>
      </c>
    </row>
    <row r="46" customFormat="false" ht="29.85" hidden="false" customHeight="false" outlineLevel="0" collapsed="false">
      <c r="A46" s="6" t="n">
        <v>45</v>
      </c>
      <c r="B46" s="7" t="s">
        <v>273</v>
      </c>
      <c r="C46" s="7" t="s">
        <v>274</v>
      </c>
      <c r="D46" s="6" t="s">
        <v>251</v>
      </c>
      <c r="E46" s="8" t="s">
        <v>118</v>
      </c>
      <c r="F46" s="7" t="s">
        <v>275</v>
      </c>
      <c r="G46" s="6" t="s">
        <v>180</v>
      </c>
      <c r="H46" s="7" t="s">
        <v>261</v>
      </c>
      <c r="I46" s="7" t="s">
        <v>254</v>
      </c>
      <c r="J46" s="7" t="s">
        <v>93</v>
      </c>
      <c r="K46" s="7" t="s">
        <v>121</v>
      </c>
      <c r="L46" s="7" t="s">
        <v>262</v>
      </c>
      <c r="M46" s="9" t="s">
        <v>276</v>
      </c>
      <c r="N46" s="8" t="s">
        <v>264</v>
      </c>
      <c r="O46" s="7"/>
      <c r="P46" s="6" t="str">
        <f aca="false">IF(COUNTIF($M$2:$M$51,M46)&gt;1,"⚠ 重复","唯一")</f>
        <v>唯一</v>
      </c>
    </row>
    <row r="47" customFormat="false" ht="29.85" hidden="false" customHeight="false" outlineLevel="0" collapsed="false">
      <c r="A47" s="6" t="n">
        <v>46</v>
      </c>
      <c r="B47" s="7" t="s">
        <v>277</v>
      </c>
      <c r="C47" s="7" t="s">
        <v>278</v>
      </c>
      <c r="D47" s="6" t="s">
        <v>251</v>
      </c>
      <c r="E47" s="8" t="s">
        <v>118</v>
      </c>
      <c r="F47" s="7" t="s">
        <v>267</v>
      </c>
      <c r="G47" s="6" t="s">
        <v>73</v>
      </c>
      <c r="H47" s="7" t="s">
        <v>261</v>
      </c>
      <c r="I47" s="7" t="s">
        <v>254</v>
      </c>
      <c r="J47" s="7" t="s">
        <v>93</v>
      </c>
      <c r="K47" s="7" t="s">
        <v>262</v>
      </c>
      <c r="L47" s="7" t="s">
        <v>121</v>
      </c>
      <c r="M47" s="9" t="s">
        <v>279</v>
      </c>
      <c r="N47" s="8" t="s">
        <v>121</v>
      </c>
      <c r="O47" s="7"/>
      <c r="P47" s="6" t="str">
        <f aca="false">IF(COUNTIF($M$2:$M$51,M47)&gt;1,"⚠ 重复","唯一")</f>
        <v>唯一</v>
      </c>
    </row>
    <row r="48" customFormat="false" ht="29.85" hidden="false" customHeight="false" outlineLevel="0" collapsed="false">
      <c r="A48" s="6" t="n">
        <v>47</v>
      </c>
      <c r="B48" s="7" t="s">
        <v>280</v>
      </c>
      <c r="C48" s="7" t="s">
        <v>281</v>
      </c>
      <c r="D48" s="6" t="s">
        <v>251</v>
      </c>
      <c r="E48" s="8" t="s">
        <v>118</v>
      </c>
      <c r="F48" s="7" t="s">
        <v>282</v>
      </c>
      <c r="G48" s="6" t="s">
        <v>79</v>
      </c>
      <c r="H48" s="7" t="s">
        <v>253</v>
      </c>
      <c r="I48" s="7" t="s">
        <v>254</v>
      </c>
      <c r="J48" s="7" t="s">
        <v>93</v>
      </c>
      <c r="K48" s="7" t="s">
        <v>35</v>
      </c>
      <c r="L48" s="7" t="s">
        <v>262</v>
      </c>
      <c r="M48" s="9" t="s">
        <v>283</v>
      </c>
      <c r="N48" s="8" t="s">
        <v>256</v>
      </c>
      <c r="O48" s="7"/>
      <c r="P48" s="6" t="str">
        <f aca="false">IF(COUNTIF($M$2:$M$51,M48)&gt;1,"⚠ 重复","唯一")</f>
        <v>唯一</v>
      </c>
    </row>
    <row r="49" customFormat="false" ht="29.85" hidden="false" customHeight="false" outlineLevel="0" collapsed="false">
      <c r="A49" s="6" t="n">
        <v>48</v>
      </c>
      <c r="B49" s="7" t="s">
        <v>284</v>
      </c>
      <c r="C49" s="7" t="s">
        <v>285</v>
      </c>
      <c r="D49" s="6" t="s">
        <v>251</v>
      </c>
      <c r="E49" s="8" t="s">
        <v>118</v>
      </c>
      <c r="F49" s="7" t="s">
        <v>237</v>
      </c>
      <c r="G49" s="6" t="s">
        <v>85</v>
      </c>
      <c r="H49" s="7" t="s">
        <v>261</v>
      </c>
      <c r="I49" s="7" t="s">
        <v>254</v>
      </c>
      <c r="J49" s="7" t="s">
        <v>51</v>
      </c>
      <c r="K49" s="7" t="s">
        <v>238</v>
      </c>
      <c r="L49" s="7" t="s">
        <v>262</v>
      </c>
      <c r="M49" s="9" t="s">
        <v>286</v>
      </c>
      <c r="N49" s="8" t="s">
        <v>264</v>
      </c>
      <c r="O49" s="7"/>
      <c r="P49" s="6" t="str">
        <f aca="false">IF(COUNTIF($M$2:$M$51,M49)&gt;1,"⚠ 重复","唯一")</f>
        <v>唯一</v>
      </c>
    </row>
    <row r="50" customFormat="false" ht="29.85" hidden="false" customHeight="false" outlineLevel="0" collapsed="false">
      <c r="A50" s="6" t="n">
        <v>49</v>
      </c>
      <c r="B50" s="7" t="s">
        <v>287</v>
      </c>
      <c r="C50" s="7" t="s">
        <v>288</v>
      </c>
      <c r="D50" s="6" t="s">
        <v>251</v>
      </c>
      <c r="E50" s="8" t="s">
        <v>118</v>
      </c>
      <c r="F50" s="7" t="s">
        <v>289</v>
      </c>
      <c r="G50" s="6" t="s">
        <v>103</v>
      </c>
      <c r="H50" s="7" t="s">
        <v>253</v>
      </c>
      <c r="I50" s="7" t="s">
        <v>254</v>
      </c>
      <c r="J50" s="7" t="s">
        <v>93</v>
      </c>
      <c r="K50" s="7" t="s">
        <v>227</v>
      </c>
      <c r="L50" s="7" t="s">
        <v>262</v>
      </c>
      <c r="M50" s="9" t="s">
        <v>290</v>
      </c>
      <c r="N50" s="8" t="s">
        <v>121</v>
      </c>
      <c r="O50" s="7"/>
      <c r="P50" s="6" t="str">
        <f aca="false">IF(COUNTIF($M$2:$M$51,M50)&gt;1,"⚠ 重复","唯一")</f>
        <v>唯一</v>
      </c>
    </row>
    <row r="51" customFormat="false" ht="29.85" hidden="false" customHeight="false" outlineLevel="0" collapsed="false">
      <c r="A51" s="2" t="n">
        <v>50</v>
      </c>
      <c r="B51" s="3" t="s">
        <v>291</v>
      </c>
      <c r="C51" s="3" t="s">
        <v>292</v>
      </c>
      <c r="D51" s="2" t="s">
        <v>251</v>
      </c>
      <c r="E51" s="4" t="s">
        <v>293</v>
      </c>
      <c r="F51" s="3" t="s">
        <v>294</v>
      </c>
      <c r="G51" s="2" t="s">
        <v>109</v>
      </c>
      <c r="H51" s="3" t="s">
        <v>295</v>
      </c>
      <c r="I51" s="3" t="s">
        <v>296</v>
      </c>
      <c r="J51" s="3" t="s">
        <v>112</v>
      </c>
      <c r="K51" s="3" t="s">
        <v>93</v>
      </c>
      <c r="L51" s="3" t="s">
        <v>45</v>
      </c>
      <c r="M51" s="5" t="s">
        <v>297</v>
      </c>
      <c r="N51" s="4" t="s">
        <v>298</v>
      </c>
      <c r="O51" s="3" t="s">
        <v>299</v>
      </c>
      <c r="P51" s="2" t="str">
        <f aca="false">IF(COUNTIF($M$2:$M$51,M51)&gt;1,"⚠ 重复","唯一")</f>
        <v>唯一</v>
      </c>
    </row>
  </sheetData>
  <autoFilter ref="A1:P5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8"/>
    <col collapsed="false" customWidth="true" hidden="false" outlineLevel="0" max="3" min="3" style="0" width="42"/>
  </cols>
  <sheetData>
    <row r="1" customFormat="false" ht="15" hidden="false" customHeight="false" outlineLevel="0" collapsed="false">
      <c r="A1" s="1" t="s">
        <v>300</v>
      </c>
      <c r="B1" s="1" t="s">
        <v>301</v>
      </c>
      <c r="C1" s="1" t="s">
        <v>302</v>
      </c>
    </row>
    <row r="2" customFormat="false" ht="15" hidden="false" customHeight="false" outlineLevel="0" collapsed="false">
      <c r="A2" s="7" t="s">
        <v>142</v>
      </c>
      <c r="B2" s="6" t="n">
        <f aca="false">COUNTIF(前50篇台账!$J$2:$L$51,A2)</f>
        <v>2</v>
      </c>
      <c r="C2" s="7" t="s">
        <v>303</v>
      </c>
    </row>
    <row r="3" customFormat="false" ht="15" hidden="false" customHeight="false" outlineLevel="0" collapsed="false">
      <c r="A3" s="7" t="s">
        <v>93</v>
      </c>
      <c r="B3" s="6" t="n">
        <f aca="false">COUNTIF(前50篇台账!$J$2:$L$51,A3)</f>
        <v>17</v>
      </c>
      <c r="C3" s="7" t="s">
        <v>303</v>
      </c>
    </row>
    <row r="4" customFormat="false" ht="15" hidden="false" customHeight="false" outlineLevel="0" collapsed="false">
      <c r="A4" s="7" t="s">
        <v>132</v>
      </c>
      <c r="B4" s="6" t="n">
        <f aca="false">COUNTIF(前50篇台账!$J$2:$L$51,A4)</f>
        <v>4</v>
      </c>
      <c r="C4" s="7" t="s">
        <v>303</v>
      </c>
    </row>
    <row r="5" customFormat="false" ht="15" hidden="false" customHeight="false" outlineLevel="0" collapsed="false">
      <c r="A5" s="7" t="s">
        <v>34</v>
      </c>
      <c r="B5" s="6" t="n">
        <f aca="false">COUNTIF(前50篇台账!$J$2:$L$51,A5)</f>
        <v>5</v>
      </c>
      <c r="C5" s="7" t="s">
        <v>303</v>
      </c>
    </row>
    <row r="6" customFormat="false" ht="15" hidden="false" customHeight="false" outlineLevel="0" collapsed="false">
      <c r="A6" s="7" t="s">
        <v>141</v>
      </c>
      <c r="B6" s="6" t="n">
        <f aca="false">COUNTIF(前50篇台账!$J$2:$L$51,A6)</f>
        <v>2</v>
      </c>
      <c r="C6" s="7" t="s">
        <v>303</v>
      </c>
    </row>
    <row r="7" customFormat="false" ht="15" hidden="false" customHeight="false" outlineLevel="0" collapsed="false">
      <c r="A7" s="7" t="s">
        <v>45</v>
      </c>
      <c r="B7" s="6" t="n">
        <f aca="false">COUNTIF(前50篇台账!$J$2:$L$51,A7)</f>
        <v>7</v>
      </c>
      <c r="C7" s="7" t="s">
        <v>303</v>
      </c>
    </row>
    <row r="8" customFormat="false" ht="15" hidden="false" customHeight="false" outlineLevel="0" collapsed="false">
      <c r="A8" s="7" t="s">
        <v>112</v>
      </c>
      <c r="B8" s="6" t="n">
        <f aca="false">COUNTIF(前50篇台账!$J$2:$L$51,A8)</f>
        <v>4</v>
      </c>
      <c r="C8" s="7" t="s">
        <v>303</v>
      </c>
    </row>
    <row r="9" customFormat="false" ht="15" hidden="false" customHeight="false" outlineLevel="0" collapsed="false">
      <c r="A9" s="7" t="s">
        <v>225</v>
      </c>
      <c r="B9" s="6" t="n">
        <f aca="false">COUNTIF(前50篇台账!$J$2:$L$51,A9)</f>
        <v>1</v>
      </c>
      <c r="C9" s="7" t="s">
        <v>303</v>
      </c>
    </row>
    <row r="10" customFormat="false" ht="15" hidden="false" customHeight="false" outlineLevel="0" collapsed="false">
      <c r="A10" s="7" t="s">
        <v>60</v>
      </c>
      <c r="B10" s="6" t="n">
        <f aca="false">COUNTIF(前50篇台账!$J$2:$L$51,A10)</f>
        <v>4</v>
      </c>
      <c r="C10" s="7" t="s">
        <v>303</v>
      </c>
    </row>
    <row r="11" customFormat="false" ht="15" hidden="false" customHeight="false" outlineLevel="0" collapsed="false">
      <c r="A11" s="7" t="s">
        <v>67</v>
      </c>
      <c r="B11" s="6" t="n">
        <f aca="false">COUNTIF(前50篇台账!$J$2:$L$51,A11)</f>
        <v>1</v>
      </c>
      <c r="C11" s="7" t="s">
        <v>303</v>
      </c>
    </row>
    <row r="12" customFormat="false" ht="15" hidden="false" customHeight="false" outlineLevel="0" collapsed="false">
      <c r="A12" s="7" t="s">
        <v>51</v>
      </c>
      <c r="B12" s="6" t="n">
        <f aca="false">COUNTIF(前50篇台账!$J$2:$L$51,A12)</f>
        <v>10</v>
      </c>
      <c r="C12" s="7" t="s">
        <v>303</v>
      </c>
    </row>
    <row r="13" customFormat="false" ht="15" hidden="false" customHeight="false" outlineLevel="0" collapsed="false">
      <c r="A13" s="7" t="s">
        <v>59</v>
      </c>
      <c r="B13" s="6" t="n">
        <f aca="false">COUNTIF(前50篇台账!$J$2:$L$51,A13)</f>
        <v>2</v>
      </c>
      <c r="C13" s="7" t="s">
        <v>303</v>
      </c>
    </row>
    <row r="14" customFormat="false" ht="15" hidden="false" customHeight="false" outlineLevel="0" collapsed="false">
      <c r="A14" s="7" t="s">
        <v>233</v>
      </c>
      <c r="B14" s="6" t="n">
        <f aca="false">COUNTIF(前50篇台账!$J$2:$L$51,A14)</f>
        <v>1</v>
      </c>
      <c r="C14" s="7" t="s">
        <v>303</v>
      </c>
    </row>
    <row r="15" customFormat="false" ht="15" hidden="false" customHeight="false" outlineLevel="0" collapsed="false">
      <c r="A15" s="7" t="s">
        <v>68</v>
      </c>
      <c r="B15" s="6" t="n">
        <f aca="false">COUNTIF(前50篇台账!$J$2:$L$51,A15)</f>
        <v>4</v>
      </c>
      <c r="C15" s="7" t="s">
        <v>303</v>
      </c>
    </row>
    <row r="16" customFormat="false" ht="15" hidden="false" customHeight="false" outlineLevel="0" collapsed="false">
      <c r="A16" s="7" t="s">
        <v>98</v>
      </c>
      <c r="B16" s="6" t="n">
        <f aca="false">COUNTIF(前50篇台账!$J$2:$L$51,A16)</f>
        <v>4</v>
      </c>
      <c r="C16" s="7" t="s">
        <v>303</v>
      </c>
    </row>
    <row r="17" customFormat="false" ht="15" hidden="false" customHeight="false" outlineLevel="0" collapsed="false">
      <c r="A17" s="7" t="s">
        <v>74</v>
      </c>
      <c r="B17" s="6" t="n">
        <f aca="false">COUNTIF(前50篇台账!$J$2:$L$51,A17)</f>
        <v>3</v>
      </c>
      <c r="C17" s="7" t="s">
        <v>303</v>
      </c>
    </row>
    <row r="18" customFormat="false" ht="15" hidden="false" customHeight="false" outlineLevel="0" collapsed="false">
      <c r="A18" s="7" t="s">
        <v>227</v>
      </c>
      <c r="B18" s="6" t="n">
        <f aca="false">COUNTIF(前50篇台账!$J$2:$L$51,A18)</f>
        <v>4</v>
      </c>
      <c r="C18" s="7" t="s">
        <v>303</v>
      </c>
    </row>
    <row r="19" customFormat="false" ht="15" hidden="false" customHeight="false" outlineLevel="0" collapsed="false">
      <c r="A19" s="7" t="s">
        <v>121</v>
      </c>
      <c r="B19" s="6" t="n">
        <f aca="false">COUNTIF(前50篇台账!$J$2:$L$51,A19)</f>
        <v>5</v>
      </c>
      <c r="C19" s="7" t="s">
        <v>303</v>
      </c>
    </row>
    <row r="20" customFormat="false" ht="15" hidden="false" customHeight="false" outlineLevel="0" collapsed="false">
      <c r="A20" s="7" t="s">
        <v>61</v>
      </c>
      <c r="B20" s="6" t="n">
        <f aca="false">COUNTIF(前50篇台账!$J$2:$L$51,A20)</f>
        <v>5</v>
      </c>
      <c r="C20" s="7" t="s">
        <v>303</v>
      </c>
    </row>
    <row r="21" customFormat="false" ht="15" hidden="false" customHeight="false" outlineLevel="0" collapsed="false">
      <c r="A21" s="7" t="s">
        <v>35</v>
      </c>
      <c r="B21" s="6" t="n">
        <f aca="false">COUNTIF(前50篇台账!$J$2:$L$51,A21)</f>
        <v>12</v>
      </c>
      <c r="C21" s="7" t="s">
        <v>303</v>
      </c>
    </row>
    <row r="22" customFormat="false" ht="15" hidden="false" customHeight="false" outlineLevel="0" collapsed="false">
      <c r="A22" s="7" t="s">
        <v>75</v>
      </c>
      <c r="B22" s="6" t="n">
        <f aca="false">COUNTIF(前50篇台账!$J$2:$L$51,A22)</f>
        <v>2</v>
      </c>
      <c r="C22" s="7" t="s">
        <v>303</v>
      </c>
    </row>
    <row r="23" customFormat="false" ht="15" hidden="false" customHeight="false" outlineLevel="0" collapsed="false">
      <c r="A23" s="7" t="s">
        <v>26</v>
      </c>
      <c r="B23" s="6" t="n">
        <f aca="false">COUNTIF(前50篇台账!$J$2:$L$51,A23)</f>
        <v>8</v>
      </c>
      <c r="C23" s="7" t="s">
        <v>303</v>
      </c>
    </row>
    <row r="24" customFormat="false" ht="15" hidden="false" customHeight="false" outlineLevel="0" collapsed="false">
      <c r="A24" s="7" t="s">
        <v>97</v>
      </c>
      <c r="B24" s="6" t="n">
        <f aca="false">COUNTIF(前50篇台账!$J$2:$L$51,A24)</f>
        <v>7</v>
      </c>
      <c r="C24" s="7" t="s">
        <v>303</v>
      </c>
    </row>
    <row r="25" customFormat="false" ht="15" hidden="false" customHeight="false" outlineLevel="0" collapsed="false">
      <c r="A25" s="7" t="s">
        <v>25</v>
      </c>
      <c r="B25" s="6" t="n">
        <f aca="false">COUNTIF(前50篇台账!$J$2:$L$51,A25)</f>
        <v>1</v>
      </c>
      <c r="C25" s="7" t="s">
        <v>303</v>
      </c>
    </row>
    <row r="26" customFormat="false" ht="15" hidden="false" customHeight="false" outlineLevel="0" collapsed="false">
      <c r="A26" s="7" t="s">
        <v>24</v>
      </c>
      <c r="B26" s="6" t="n">
        <f aca="false">COUNTIF(前50篇台账!$J$2:$L$51,A26)</f>
        <v>7</v>
      </c>
      <c r="C26" s="7" t="s">
        <v>303</v>
      </c>
    </row>
    <row r="27" customFormat="false" ht="15" hidden="false" customHeight="false" outlineLevel="0" collapsed="false">
      <c r="A27" s="7" t="s">
        <v>238</v>
      </c>
      <c r="B27" s="6" t="n">
        <f aca="false">COUNTIF(前50篇台账!$J$2:$L$51,A27)</f>
        <v>2</v>
      </c>
      <c r="C27" s="7" t="s">
        <v>303</v>
      </c>
    </row>
    <row r="28" customFormat="false" ht="15" hidden="false" customHeight="false" outlineLevel="0" collapsed="false">
      <c r="A28" s="7" t="s">
        <v>262</v>
      </c>
      <c r="B28" s="6" t="n">
        <f aca="false">COUNTIF(前50篇台账!$J$2:$L$51,A28)</f>
        <v>7</v>
      </c>
      <c r="C28" s="7" t="s">
        <v>303</v>
      </c>
    </row>
    <row r="29" customFormat="false" ht="15" hidden="false" customHeight="false" outlineLevel="0" collapsed="false">
      <c r="A29" s="7" t="s">
        <v>44</v>
      </c>
      <c r="B29" s="6" t="n">
        <f aca="false">COUNTIF(前50篇台账!$J$2:$L$51,A29)</f>
        <v>4</v>
      </c>
      <c r="C29" s="7" t="s">
        <v>303</v>
      </c>
    </row>
    <row r="30" customFormat="false" ht="15" hidden="false" customHeight="false" outlineLevel="0" collapsed="false">
      <c r="A30" s="7" t="s">
        <v>80</v>
      </c>
      <c r="B30" s="6" t="n">
        <f aca="false">COUNTIF(前50篇台账!$J$2:$L$51,A30)</f>
        <v>2</v>
      </c>
      <c r="C30" s="7" t="s">
        <v>303</v>
      </c>
    </row>
    <row r="31" customFormat="false" ht="15" hidden="false" customHeight="false" outlineLevel="0" collapsed="false">
      <c r="A31" s="7" t="s">
        <v>86</v>
      </c>
      <c r="B31" s="6" t="n">
        <f aca="false">COUNTIF(前50篇台账!$J$2:$L$51,A31)</f>
        <v>3</v>
      </c>
      <c r="C31" s="7" t="s">
        <v>303</v>
      </c>
    </row>
    <row r="32" customFormat="false" ht="15" hidden="false" customHeight="false" outlineLevel="0" collapsed="false">
      <c r="A32" s="7" t="s">
        <v>181</v>
      </c>
      <c r="B32" s="6" t="n">
        <f aca="false">COUNTIF(前50篇台账!$J$2:$L$51,A32)</f>
        <v>2</v>
      </c>
      <c r="C32" s="7" t="s">
        <v>303</v>
      </c>
    </row>
    <row r="33" customFormat="false" ht="15" hidden="false" customHeight="false" outlineLevel="0" collapsed="false">
      <c r="A33" s="7" t="s">
        <v>36</v>
      </c>
      <c r="B33" s="6" t="n">
        <f aca="false">COUNTIF(前50篇台账!$J$2:$L$51,A33)</f>
        <v>2</v>
      </c>
      <c r="C33" s="7" t="s">
        <v>303</v>
      </c>
    </row>
    <row r="34" customFormat="false" ht="15" hidden="false" customHeight="false" outlineLevel="0" collapsed="false">
      <c r="A34" s="7" t="s">
        <v>226</v>
      </c>
      <c r="B34" s="6" t="n">
        <f aca="false">COUNTIF(前50篇台账!$J$2:$L$51,A34)</f>
        <v>2</v>
      </c>
      <c r="C34" s="7" t="s">
        <v>303</v>
      </c>
    </row>
    <row r="35" customFormat="false" ht="15" hidden="false" customHeight="false" outlineLevel="0" collapsed="false">
      <c r="A35" s="7" t="s">
        <v>52</v>
      </c>
      <c r="B35" s="6" t="n">
        <f aca="false">COUNTIF(前50篇台账!$J$2:$L$51,A35)</f>
        <v>1</v>
      </c>
      <c r="C35" s="7" t="s">
        <v>303</v>
      </c>
    </row>
    <row r="36" customFormat="false" ht="15" hidden="false" customHeight="false" outlineLevel="0" collapsed="false">
      <c r="A36" s="7" t="s">
        <v>126</v>
      </c>
      <c r="B36" s="6" t="n">
        <f aca="false">COUNTIF(前50篇台账!$J$2:$L$51,A36)</f>
        <v>3</v>
      </c>
      <c r="C36" s="7" t="s">
        <v>303</v>
      </c>
    </row>
    <row r="37" customFormat="false" ht="15" hidden="false" customHeight="false" outlineLevel="0" collapsed="false">
      <c r="A37" s="10" t="s">
        <v>304</v>
      </c>
      <c r="B37" s="10" t="n">
        <f aca="false">SUM(B2:B36)</f>
        <v>150</v>
      </c>
      <c r="C37" s="1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</cols>
  <sheetData>
    <row r="1" customFormat="false" ht="19.4" hidden="false" customHeight="false" outlineLevel="0" collapsed="false">
      <c r="A1" s="12" t="s">
        <v>305</v>
      </c>
    </row>
    <row r="2" customFormat="false" ht="15" hidden="false" customHeight="false" outlineLevel="0" collapsed="false">
      <c r="A2" s="13"/>
    </row>
    <row r="3" customFormat="false" ht="15" hidden="false" customHeight="false" outlineLevel="0" collapsed="false">
      <c r="A3" s="14" t="s">
        <v>306</v>
      </c>
    </row>
    <row r="4" customFormat="false" ht="15" hidden="false" customHeight="false" outlineLevel="0" collapsed="false">
      <c r="A4" s="13"/>
    </row>
    <row r="5" customFormat="false" ht="15" hidden="false" customHeight="false" outlineLevel="0" collapsed="false">
      <c r="A5" s="15" t="s">
        <v>307</v>
      </c>
    </row>
    <row r="6" customFormat="false" ht="15" hidden="false" customHeight="false" outlineLevel="0" collapsed="false">
      <c r="A6" s="13" t="s">
        <v>308</v>
      </c>
    </row>
    <row r="7" customFormat="false" ht="15" hidden="false" customHeight="false" outlineLevel="0" collapsed="false">
      <c r="A7" s="13" t="s">
        <v>309</v>
      </c>
    </row>
    <row r="8" customFormat="false" ht="15" hidden="false" customHeight="false" outlineLevel="0" collapsed="false">
      <c r="A8" s="13" t="s">
        <v>310</v>
      </c>
    </row>
    <row r="9" customFormat="false" ht="15" hidden="false" customHeight="false" outlineLevel="0" collapsed="false">
      <c r="A9" s="13"/>
    </row>
    <row r="10" customFormat="false" ht="15" hidden="false" customHeight="false" outlineLevel="0" collapsed="false">
      <c r="A10" s="15" t="s">
        <v>311</v>
      </c>
    </row>
    <row r="11" customFormat="false" ht="15" hidden="false" customHeight="false" outlineLevel="0" collapsed="false">
      <c r="A11" s="13" t="s">
        <v>312</v>
      </c>
    </row>
    <row r="12" customFormat="false" ht="15" hidden="false" customHeight="false" outlineLevel="0" collapsed="false">
      <c r="A12" s="13" t="s">
        <v>313</v>
      </c>
    </row>
    <row r="13" customFormat="false" ht="15" hidden="false" customHeight="false" outlineLevel="0" collapsed="false">
      <c r="A13" s="13" t="s">
        <v>314</v>
      </c>
    </row>
    <row r="14" customFormat="false" ht="15" hidden="false" customHeight="false" outlineLevel="0" collapsed="false">
      <c r="A14" s="13"/>
    </row>
    <row r="15" customFormat="false" ht="15" hidden="false" customHeight="false" outlineLevel="0" collapsed="false">
      <c r="A15" s="14" t="s">
        <v>315</v>
      </c>
    </row>
    <row r="16" customFormat="false" ht="15" hidden="false" customHeight="false" outlineLevel="0" collapsed="false">
      <c r="A16" s="14" t="s">
        <v>316</v>
      </c>
    </row>
    <row r="17" customFormat="false" ht="15" hidden="false" customHeight="false" outlineLevel="0" collapsed="false">
      <c r="A17" s="13"/>
    </row>
    <row r="18" customFormat="false" ht="15" hidden="false" customHeight="false" outlineLevel="0" collapsed="false">
      <c r="A18" s="14" t="s">
        <v>317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2026-06-05T02:06:17Z</dcterms:created>
  <dc:creator>openpyxl</dc:creator>
  <dc:description/>
  <dc:language>en-US</dc:language>
  <cp:lastModifiedBy/>
  <dcterms:modified xsi:type="dcterms:W3CDTF">2026-06-05T02:06:17Z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